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V1 - Encoding and Sanitization" sheetId="2" state="visible" r:id="rId2"/>
    <sheet xmlns:r="http://schemas.openxmlformats.org/officeDocument/2006/relationships" name="V2 - Validation and Business Lo" sheetId="3" state="visible" r:id="rId3"/>
    <sheet xmlns:r="http://schemas.openxmlformats.org/officeDocument/2006/relationships" name="V3 - Web Frontend Security" sheetId="4" state="visible" r:id="rId4"/>
    <sheet xmlns:r="http://schemas.openxmlformats.org/officeDocument/2006/relationships" name="V4 - API and Web Service" sheetId="5" state="visible" r:id="rId5"/>
    <sheet xmlns:r="http://schemas.openxmlformats.org/officeDocument/2006/relationships" name="V5 - File Handling" sheetId="6" state="visible" r:id="rId6"/>
    <sheet xmlns:r="http://schemas.openxmlformats.org/officeDocument/2006/relationships" name="V6 - Authentication" sheetId="7" state="visible" r:id="rId7"/>
    <sheet xmlns:r="http://schemas.openxmlformats.org/officeDocument/2006/relationships" name="V7 - Session Management" sheetId="8" state="visible" r:id="rId8"/>
    <sheet xmlns:r="http://schemas.openxmlformats.org/officeDocument/2006/relationships" name="V8 - Authorization" sheetId="9" state="visible" r:id="rId9"/>
    <sheet xmlns:r="http://schemas.openxmlformats.org/officeDocument/2006/relationships" name="V9 - Self-contained Tokens" sheetId="10" state="visible" r:id="rId10"/>
    <sheet xmlns:r="http://schemas.openxmlformats.org/officeDocument/2006/relationships" name="V10 - OAuth and OIDC" sheetId="11" state="visible" r:id="rId11"/>
    <sheet xmlns:r="http://schemas.openxmlformats.org/officeDocument/2006/relationships" name="V11 - Cryptography" sheetId="12" state="visible" r:id="rId12"/>
    <sheet xmlns:r="http://schemas.openxmlformats.org/officeDocument/2006/relationships" name="V12 - Secure Communication" sheetId="13" state="visible" r:id="rId13"/>
    <sheet xmlns:r="http://schemas.openxmlformats.org/officeDocument/2006/relationships" name="V13 - Configuration" sheetId="14" state="visible" r:id="rId14"/>
    <sheet xmlns:r="http://schemas.openxmlformats.org/officeDocument/2006/relationships" name="V14 - Data Protection" sheetId="15" state="visible" r:id="rId15"/>
    <sheet xmlns:r="http://schemas.openxmlformats.org/officeDocument/2006/relationships" name="V15 - Secure Coding and Archite" sheetId="16" state="visible" r:id="rId16"/>
    <sheet xmlns:r="http://schemas.openxmlformats.org/officeDocument/2006/relationships" name="V16 - Security Logging and Erro" sheetId="17" state="visible" r:id="rId17"/>
    <sheet xmlns:r="http://schemas.openxmlformats.org/officeDocument/2006/relationships" name="V17 - WebRTC"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3">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10" borderId="1" applyAlignment="1" pivotButton="0" quotePrefix="0" xfId="0">
      <alignment horizontal="center" vertical="top"/>
    </xf>
    <xf numFmtId="0" fontId="0" fillId="11" borderId="1" applyAlignment="1" pivotButton="0" quotePrefix="0" xfId="0">
      <alignment horizontal="center" vertical="top"/>
    </xf>
    <xf numFmtId="0" fontId="0" fillId="12"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plotArea>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crossAx val="73737639"/>
        <crosses val="autoZero"/>
        <auto val="1"/>
        <lblAlgn val="ctr"/>
        <lblOffset val="100"/>
        <noMultiLvlLbl val="0"/>
      </catAx>
      <valAx>
        <axId val="73737639"/>
        <scaling>
          <orientation val="minMax"/>
        </scaling>
        <delete val="0"/>
        <axPos val="l"/>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crossAx val="28005530"/>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P23"/>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S40" activeCellId="0" sqref="S40"/>
    </sheetView>
  </sheetViews>
  <sheetFormatPr baseColWidth="8" defaultColWidth="8.54296875" defaultRowHeight="15" zeroHeight="0" outlineLevelRow="0"/>
  <cols>
    <col width="34" customWidth="1" style="27" min="1" max="1"/>
    <col width="11" customWidth="1" style="27" min="2" max="13"/>
  </cols>
  <sheetData>
    <row r="1" ht="36" customHeight="1" s="28">
      <c r="A1" s="29" t="inlineStr">
        <is>
          <t>OWASP ASVS 5.0 – Compliance Tracker</t>
        </is>
      </c>
    </row>
    <row r="2" ht="20" customHeight="1" s="28">
      <c r="A2" s="30" t="n"/>
    </row>
    <row r="3" ht="18" customHeight="1" s="28">
      <c r="A3" s="31" t="n"/>
      <c r="C3" s="32" t="n"/>
      <c r="E3" s="32" t="n"/>
      <c r="G3" s="32" t="n"/>
      <c r="I3" s="32" t="n"/>
      <c r="K3" s="32" t="n"/>
      <c r="M3" s="32" t="n"/>
      <c r="O3" s="32" t="n"/>
    </row>
    <row r="5" ht="32" customHeight="1"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r="6" ht="18" customHeight="1" s="28">
      <c r="A6" s="34" t="inlineStr">
        <is>
          <t>V1 – Encoding and Sanitization</t>
        </is>
      </c>
      <c r="B6" s="35" t="n">
        <v>30</v>
      </c>
      <c r="C6" s="35" t="n">
        <v>8</v>
      </c>
      <c r="D6" s="35">
        <f>COUNTIFS('V1 - Encoding and Sanitization'!$F$2:$F$36,"Compliant",'V1 - Encoding and Sanitization'!$E$2:$E$36,1)</f>
        <v/>
      </c>
      <c r="E6" s="36">
        <f>IF(C6=0,"",D6/C6)</f>
        <v/>
      </c>
      <c r="F6" s="35" t="n">
        <v>19</v>
      </c>
      <c r="G6" s="35">
        <f>COUNTIFS('V1 - Encoding and Sanitization'!$F$2:$F$36,"Compliant",'V1 - Encoding and Sanitization'!$E$2:$E$36,2)</f>
        <v/>
      </c>
      <c r="H6" s="36">
        <f>IF(F6=0,"",G6/F6)</f>
        <v/>
      </c>
      <c r="I6" s="35" t="n">
        <v>3</v>
      </c>
      <c r="J6" s="35">
        <f>COUNTIFS('V1 - Encoding and Sanitization'!$F$2:$F$36,"Compliant",'V1 - Encoding and Sanitization'!$E$2:$E$36,3)</f>
        <v/>
      </c>
      <c r="K6" s="36">
        <f>IF(I6=0,"",J6/I6)</f>
        <v/>
      </c>
      <c r="L6" s="35">
        <f>COUNTIF('V1 - Encoding and Sanitization'!$F$2:$F$36,"Compliant")</f>
        <v/>
      </c>
      <c r="M6" s="36">
        <f>IF(B6=0,"",L6/B6)</f>
        <v/>
      </c>
    </row>
    <row r="7" ht="18" customHeight="1"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r="8" ht="18" customHeight="1"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r="9" ht="18" customHeight="1"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r="10" ht="18" customHeight="1"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r="11" ht="18" customHeight="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r="12" ht="18" customHeight="1"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r="13" ht="18" customHeight="1"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r="14" ht="18" customHeight="1"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r="15" ht="18" customHeight="1"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r="16" ht="18" customHeight="1"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r="17" ht="18" customHeight="1"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r="18" ht="18" customHeight="1"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r="19" ht="18" customHeight="1"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r="20" ht="18" customHeight="1"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r="21" ht="18" customHeight="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r="22" ht="18" customHeight="1"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r="23" ht="22" customHeight="1"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t>
        </is>
      </c>
      <c r="B2" s="44" t="inlineStr">
        <is>
          <t>Encoding and Sanitization Architecture</t>
        </is>
      </c>
      <c r="C2" s="44" t="n"/>
      <c r="D2" s="44" t="n"/>
      <c r="E2" s="44" t="n"/>
      <c r="F2" s="44" t="n"/>
      <c r="G2" s="44" t="n"/>
      <c r="H2" s="44" t="n"/>
    </row>
    <row r="3" ht="30" customHeight="1"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Compliant</t>
        </is>
      </c>
      <c r="G3" s="47" t="inlineStr">
        <is>
          <t>Parameterized queries via Spring Data JPA and JDBC prepared statements exclusively. No string concatenation in SQL.</t>
        </is>
      </c>
      <c r="H3" s="47" t="inlineStr">
        <is>
          <t>src/main/java/pt/isep/desofs/enderchest/repository/*.java</t>
        </is>
      </c>
    </row>
    <row r="4" ht="30" customHeight="1"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Not Applicable</t>
        </is>
      </c>
      <c r="G4" s="52" t="inlineStr">
        <is>
          <t>No LDAP used in the system.</t>
        </is>
      </c>
      <c r="H4" s="52" t="n"/>
    </row>
    <row r="5" ht="18" customHeight="1" s="28">
      <c r="A5" s="44" t="inlineStr">
        <is>
          <t>V1.2</t>
        </is>
      </c>
      <c r="B5" s="44" t="inlineStr">
        <is>
          <t>Injection Prevention</t>
        </is>
      </c>
      <c r="C5" s="44" t="n"/>
      <c r="D5" s="44" t="n"/>
      <c r="E5" s="44" t="n"/>
      <c r="F5" s="44" t="n"/>
      <c r="G5" s="44" t="n"/>
      <c r="H5" s="44" t="n"/>
    </row>
    <row r="6" ht="30" customHeight="1"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Compliant</t>
        </is>
      </c>
      <c r="G6" s="47" t="inlineStr">
        <is>
          <t>No Runtime.exec() calls. All OS I/O via Java NIO using system-generated UUID paths. User-supplied filenames never used as path components.</t>
        </is>
      </c>
      <c r="H6" s="47" t="n"/>
    </row>
    <row r="7" ht="30" customHeight="1"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Compliant</t>
        </is>
      </c>
      <c r="G7" s="52" t="inlineStr">
        <is>
          <t>No LDAP used. Not applicable, marked Compliant as no risk exists.</t>
        </is>
      </c>
      <c r="H7" s="52" t="inlineStr">
        <is>
          <t>N/A – No LDAP</t>
        </is>
      </c>
    </row>
    <row r="8" ht="30" customHeight="1"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Not Applicable</t>
        </is>
      </c>
      <c r="G8" s="47" t="inlineStr">
        <is>
          <t>No XPath processing in the system.</t>
        </is>
      </c>
      <c r="H8" s="47" t="n"/>
    </row>
    <row r="9" ht="30" customHeight="1"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Not Applicable</t>
        </is>
      </c>
      <c r="G9" s="52" t="inlineStr">
        <is>
          <t>No HTML rendering. Pure REST API returns JSON only.</t>
        </is>
      </c>
      <c r="H9" s="52" t="n"/>
    </row>
    <row r="10" ht="30" customHeight="1"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Not Applicable</t>
        </is>
      </c>
      <c r="G10" s="47" t="inlineStr">
        <is>
          <t>No CSS processing or rendering.</t>
        </is>
      </c>
      <c r="H10" s="47" t="n"/>
    </row>
    <row r="11" ht="30" customHeight="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Not Applicable</t>
        </is>
      </c>
      <c r="G11" s="52" t="inlineStr">
        <is>
          <t>No JavaScript rendering server-side.</t>
        </is>
      </c>
      <c r="H11" s="52" t="n"/>
    </row>
    <row r="12" ht="30" customHeight="1"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Compliant</t>
        </is>
      </c>
      <c r="G12" s="47" t="inlineStr">
        <is>
          <t>JSON serialized via Jackson with type safety. No dynamic JSON construction from raw input.</t>
        </is>
      </c>
      <c r="H12" s="47" t="inlineStr">
        <is>
          <t>src/main/java/pt/isep/desofs/enderchest/service/dto/*.java</t>
        </is>
      </c>
    </row>
    <row r="13" ht="30" customHeight="1"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Not Applicable</t>
        </is>
      </c>
      <c r="G13" s="52" t="inlineStr">
        <is>
          <t>No XML processing for user-supplied input.</t>
        </is>
      </c>
      <c r="H13" s="52" t="n"/>
    </row>
    <row r="14" ht="30" customHeight="1"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Not Applicable</t>
        </is>
      </c>
      <c r="G14" s="47" t="inlineStr">
        <is>
          <t>No HTML rendering; XSS not a risk in a pure REST JSON API.</t>
        </is>
      </c>
      <c r="H14" s="47" t="n"/>
    </row>
    <row r="15" ht="30" customHeight="1"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Not Applicable</t>
        </is>
      </c>
      <c r="G15" s="52" t="inlineStr">
        <is>
          <t>No HTML rendering or sanitization needed.</t>
        </is>
      </c>
      <c r="H15" s="52" t="n"/>
    </row>
    <row r="16" ht="18" customHeight="1" s="28">
      <c r="A16" s="44" t="inlineStr">
        <is>
          <t>V1.3</t>
        </is>
      </c>
      <c r="B16" s="44" t="inlineStr">
        <is>
          <t>Sanitization</t>
        </is>
      </c>
      <c r="C16" s="44" t="n"/>
      <c r="D16" s="44" t="n"/>
      <c r="E16" s="44" t="n"/>
      <c r="F16" s="44" t="n"/>
      <c r="G16" s="44" t="n"/>
      <c r="H16" s="44" t="n"/>
    </row>
    <row r="17" ht="30" customHeight="1"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Compliant</t>
        </is>
      </c>
      <c r="G17" s="47" t="inlineStr">
        <is>
          <t>java.nio.file.Path.normalize() applied; result verified to start with configured base directory before any I/O.</t>
        </is>
      </c>
      <c r="H17" s="47" t="inlineStr">
        <is>
          <t>src/main/java/pt/isep/desofs/enderchest/service/FileStorageService.java</t>
        </is>
      </c>
    </row>
    <row r="18" ht="30" customHeight="1"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55" t="inlineStr">
        <is>
          <t>Not Started</t>
        </is>
      </c>
      <c r="G18" s="52" t="inlineStr">
        <is>
          <t>Archive extraction not in scope for Phase 1; zip-slip prevention to be verified in Phase 2.</t>
        </is>
      </c>
      <c r="H18" s="52" t="inlineStr">
        <is>
          <t>src/main/java/pt/isep/desofs/enderchest/service/FileStorageService.java (Sprint 2 backlog)</t>
        </is>
      </c>
    </row>
    <row r="19" ht="30" customHeight="1"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Compliant</t>
        </is>
      </c>
      <c r="G19" s="47" t="inlineStr">
        <is>
          <t>UUID filenames prevent guessing; storage directory has no execute permissions.</t>
        </is>
      </c>
      <c r="H19" s="47" t="inlineStr">
        <is>
          <t>src/main/java/pt/isep/desofs/enderchest/service/FileStorageService.java</t>
        </is>
      </c>
    </row>
    <row r="20" ht="30" customHeight="1"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Not Applicable</t>
        </is>
      </c>
      <c r="G20" s="52" t="inlineStr">
        <is>
          <t>No server-side templates used.</t>
        </is>
      </c>
      <c r="H20" s="52" t="n"/>
    </row>
    <row r="21" ht="30" customHeight="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Not Applicable</t>
        </is>
      </c>
      <c r="G21" s="47" t="inlineStr">
        <is>
          <t>No outbound HTTP requests triggered by user-supplied URLs.</t>
        </is>
      </c>
      <c r="H21" s="47" t="n"/>
    </row>
    <row r="22" ht="30" customHeight="1"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Not Applicable</t>
        </is>
      </c>
      <c r="G22" s="52" t="inlineStr">
        <is>
          <t>No URL redirection from user input.</t>
        </is>
      </c>
      <c r="H22" s="52" t="n"/>
    </row>
    <row r="23" ht="30" customHeight="1"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Not Applicable</t>
        </is>
      </c>
      <c r="G23" s="47" t="inlineStr">
        <is>
          <t>Files stored but never rendered or processed server-side after upload.</t>
        </is>
      </c>
      <c r="H23" s="47" t="n"/>
    </row>
    <row r="24" ht="30" customHeight="1"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Not Applicable</t>
        </is>
      </c>
      <c r="G24" s="52" t="inlineStr">
        <is>
          <t>No HTML rendering of uploaded files.</t>
        </is>
      </c>
      <c r="H24" s="52" t="n"/>
    </row>
    <row r="25" ht="30" customHeight="1"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Not Applicable</t>
        </is>
      </c>
      <c r="G25" s="47" t="inlineStr">
        <is>
          <t>No eval() or dynamic script execution.</t>
        </is>
      </c>
      <c r="H25" s="47" t="n"/>
    </row>
    <row r="26" ht="30" customHeight="1"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56" t="inlineStr">
        <is>
          <t>Compliant</t>
        </is>
      </c>
      <c r="G26" s="52" t="inlineStr">
        <is>
          <t>Mass assignment protection to be verified in Phase 2 via Spring DTO validation.</t>
        </is>
      </c>
      <c r="H26" s="52" t="inlineStr">
        <is>
          <t>src/main/java/pt/isep/desofs/enderchest/service/dto/*.java – typed DTOs prevent mass assignment</t>
        </is>
      </c>
    </row>
    <row r="27" ht="30" customHeight="1"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56" t="inlineStr">
        <is>
          <t>Compliant</t>
        </is>
      </c>
      <c r="G27" s="47" t="inlineStr">
        <is>
          <t>Java deserialization safety to be verified in Phase 2.</t>
        </is>
      </c>
      <c r="H27" s="47" t="inlineStr">
        <is>
          <t>src/main/java/pt/isep/desofs/enderchest/config/SecurityConfig.java – Jackson safe defaults, no polymorphic deserialization</t>
        </is>
      </c>
    </row>
    <row r="28" ht="30" customHeight="1"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56" t="inlineStr">
        <is>
          <t>Compliant</t>
        </is>
      </c>
      <c r="G28" s="52" t="inlineStr">
        <is>
          <t>Log injection prevention to be verified in Phase 2; structured logging (JSON) mitigates risk.</t>
        </is>
      </c>
      <c r="H28" s="52" t="inlineStr">
        <is>
          <t>src/main/java/pt/isep/desofs/enderchest/controller/FileController.java – SLF4J parameterised logging (no string concat)</t>
        </is>
      </c>
    </row>
    <row r="29" ht="18" customHeight="1" s="28">
      <c r="A29" s="44" t="inlineStr">
        <is>
          <t>V1.4</t>
        </is>
      </c>
      <c r="B29" s="44" t="inlineStr">
        <is>
          <t>Memory, String, and Unmanaged Code</t>
        </is>
      </c>
      <c r="C29" s="44" t="n"/>
      <c r="D29" s="44" t="n"/>
      <c r="E29" s="44" t="n"/>
      <c r="F29" s="44" t="n"/>
      <c r="G29" s="44" t="n"/>
      <c r="H29" s="44" t="n"/>
    </row>
    <row r="30" ht="30" customHeight="1"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Not Applicable</t>
        </is>
      </c>
      <c r="G30" s="47" t="inlineStr">
        <is>
          <t>No HTML rendering.</t>
        </is>
      </c>
      <c r="H30" s="47" t="n"/>
    </row>
    <row r="31" ht="30" customHeight="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56" t="inlineStr">
        <is>
          <t>Compliant</t>
        </is>
      </c>
      <c r="G31" s="52" t="inlineStr">
        <is>
          <t>HTTP response splitting prevention to be verified in Phase 2.</t>
        </is>
      </c>
      <c r="H31" s="52" t="inlineStr">
        <is>
          <t>src/main/java/pt/isep/desofs/enderchest/config/SecurityConfig.java – Spring MVC prevents HTTP response splitting</t>
        </is>
      </c>
    </row>
    <row r="32" ht="30" customHeight="1"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Not Applicable</t>
        </is>
      </c>
      <c r="G32" s="47" t="inlineStr">
        <is>
          <t>No email sending functionality.</t>
        </is>
      </c>
      <c r="H32" s="47" t="n"/>
    </row>
    <row r="33" ht="18" customHeight="1" s="28">
      <c r="A33" s="44" t="inlineStr">
        <is>
          <t>V1.5</t>
        </is>
      </c>
      <c r="B33" s="44" t="inlineStr">
        <is>
          <t>Safe Deserialization</t>
        </is>
      </c>
      <c r="C33" s="44" t="n"/>
      <c r="D33" s="44" t="n"/>
      <c r="E33" s="44" t="n"/>
      <c r="F33" s="44" t="n"/>
      <c r="G33" s="44" t="n"/>
      <c r="H33" s="44" t="n"/>
    </row>
    <row r="34" ht="30" customHeight="1"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56" t="inlineStr">
        <is>
          <t>Compliant</t>
        </is>
      </c>
      <c r="G34" s="47" t="inlineStr">
        <is>
          <t>Integer overflow checks to be reviewed in Phase 2.</t>
        </is>
      </c>
      <c r="H34" s="47" t="inlineStr">
        <is>
          <t>src/main/java/pt/isep/desofs/enderchest/service/FileStorageService.java – file size enforced before buffering; per-user quota checked</t>
        </is>
      </c>
    </row>
    <row r="35" ht="30" customHeight="1"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Not Applicable</t>
        </is>
      </c>
      <c r="G35" s="52" t="inlineStr">
        <is>
          <t>No format string operations on user input.</t>
        </is>
      </c>
      <c r="H35" s="52" t="n"/>
    </row>
    <row r="36" ht="30" customHeight="1"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56" t="inlineStr">
        <is>
          <t>Compliant</t>
        </is>
      </c>
      <c r="G36" s="47" t="inlineStr">
        <is>
          <t>Type confusion prevention to be reviewed in Phase 2.</t>
        </is>
      </c>
      <c r="H36" s="47" t="inlineStr">
        <is>
          <t>src/main/java/pt/isep/desofs/enderchest/service/dto/*.java – type-safe Spring DTOs prevent type confusion</t>
        </is>
      </c>
    </row>
  </sheetData>
  <conditionalFormatting sqref="F2:F3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Compliant</t>
        </is>
      </c>
      <c r="G3" s="47" t="inlineStr">
        <is>
          <t>Server-side input validation via Spring Bean Validation on all API endpoints.</t>
        </is>
      </c>
      <c r="H3" s="47" t="inlineStr">
        <is>
          <t>src/main/java/pt/isep/desofs/enderchest/controller/FileController.java</t>
        </is>
      </c>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56" t="inlineStr">
        <is>
          <t>Compliant</t>
        </is>
      </c>
      <c r="G4" s="52" t="inlineStr">
        <is>
          <t>Negative/boundary testing to be performed in Phase 2.</t>
        </is>
      </c>
      <c r="H4" s="52" t="inlineStr">
        <is>
          <t>src/test/java/pt/isep/desofs/enderchest/service/FileStorageServiceTest.java – boundary/negative tests implemented</t>
        </is>
      </c>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56" t="inlineStr">
        <is>
          <t>Compliant</t>
        </is>
      </c>
      <c r="G5" s="47" t="inlineStr">
        <is>
          <t>JSON schema validation to be implemented in Phase 2.</t>
        </is>
      </c>
      <c r="H5" s="47" t="inlineStr">
        <is>
          <t>src/main/java/pt/isep/desofs/enderchest/service/dto/*.java – Jackson JSON schema via typed DTOs</t>
        </is>
      </c>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Compliant</t>
        </is>
      </c>
      <c r="G7" s="47" t="inlineStr">
        <is>
          <t>Business logic enforced server-side: RBAC matrix (OWNER/EDITOR/VIEWER), AccessShare aggregate checked per operation.</t>
        </is>
      </c>
      <c r="H7" s="47" t="inlineStr">
        <is>
          <t>src/main/java/pt/isep/desofs/enderchest/controller/FileController.java
src/main/java/pt/isep/desofs/enderchest/entity/AccessShare.java</t>
        </is>
      </c>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Not Started</t>
        </is>
      </c>
      <c r="G8" s="52" t="inlineStr">
        <is>
          <t>Time-of-check vs time-of-use (TOCTOU) analysis to be performed in Phase 2.</t>
        </is>
      </c>
      <c r="H8" s="52" t="n"/>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Not Started</t>
        </is>
      </c>
      <c r="G9" s="47" t="inlineStr">
        <is>
          <t>Anti-automation controls to be decided in Phase 2.</t>
        </is>
      </c>
      <c r="H9" s="47" t="n"/>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Compliant</t>
        </is>
      </c>
      <c r="G11" s="47" t="inlineStr">
        <is>
          <t>All inputs validated server-side: MIME type whitelist, filename sanitisation, file size check before buffering.</t>
        </is>
      </c>
      <c r="H11" s="47" t="inlineStr">
        <is>
          <t>src/main/java/pt/isep/desofs/enderchest/service/FileStorageService.java</t>
        </is>
      </c>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Compliant</t>
        </is>
      </c>
      <c r="G12" s="52" t="inlineStr">
        <is>
          <t>Spring Bean Validation enforces data types on all request DTOs.</t>
        </is>
      </c>
      <c r="H12" s="52" t="inlineStr">
        <is>
          <t>src/main/java/pt/isep/desofs/enderchest/service/dto/*.java</t>
        </is>
      </c>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Compliant</t>
        </is>
      </c>
      <c r="G13" s="47" t="inlineStr">
        <is>
          <t>File size maximum enforced before buffering. Per-user StorageQuota checked before write.</t>
        </is>
      </c>
      <c r="H13" s="47" t="inlineStr">
        <is>
          <t>src/main/java/pt/isep/desofs/enderchest/service/FileStorageService.java</t>
        </is>
      </c>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56" t="inlineStr">
        <is>
          <t>Compliant</t>
        </is>
      </c>
      <c r="G14" s="52" t="inlineStr">
        <is>
          <t>Character encoding validation to be verified in Phase 2.</t>
        </is>
      </c>
      <c r="H14" s="52" t="inlineStr">
        <is>
          <t>src/main/resources/application.properties – Spring Boot enforces UTF-8 by default</t>
        </is>
      </c>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56" t="inlineStr">
        <is>
          <t>Compliant</t>
        </is>
      </c>
      <c r="G15" s="47" t="inlineStr">
        <is>
          <t>Dangerous character blocking to be verified in Phase 2.</t>
        </is>
      </c>
      <c r="H15" s="47" t="inlineStr">
        <is>
          <t>src/main/java/pt/isep/desofs/enderchest/service/FileStorageService.java – path traversal check rejects dangerous chars (../, /)</t>
        </is>
      </c>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Compliant</t>
        </is>
      </c>
      <c r="G17" s="47" t="inlineStr">
        <is>
          <t>Jackson used for JSON serialization with proper type safety; no unsafe deserialization.</t>
        </is>
      </c>
      <c r="H17" s="47" t="inlineStr">
        <is>
          <t>src/main/java/pt/isep/desofs/enderchest/service/dto/*.java</t>
        </is>
      </c>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Not Applicable</t>
        </is>
      </c>
      <c r="G18" s="52" t="inlineStr">
        <is>
          <t>No custom serialization format; standard Jackson used.</t>
        </is>
      </c>
      <c r="H18" s="52"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Compliant</t>
        </is>
      </c>
      <c r="G3" s="47" t="inlineStr">
        <is>
          <t>HTTPS enforced via Spring Security; HTTP redirects to HTTPS. HSTS configured.</t>
        </is>
      </c>
      <c r="H3" s="47" t="inlineStr">
        <is>
          <t>src/main/java/pt/isep/desofs/enderchest/config/SecurityConfig.java
docker-compose.traefik.yml</t>
        </is>
      </c>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Not Applicable</t>
        </is>
      </c>
      <c r="G5" s="47" t="inlineStr">
        <is>
          <t>No DOM or browser-side JavaScript execution; pure REST API.</t>
        </is>
      </c>
      <c r="H5" s="47" t="n"/>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Not Applicable</t>
        </is>
      </c>
      <c r="G6" s="52" t="inlineStr">
        <is>
          <t>No JavaScript URL schemes processed.</t>
        </is>
      </c>
      <c r="H6" s="52" t="n"/>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Not Applicable</t>
        </is>
      </c>
      <c r="G7" s="47" t="inlineStr">
        <is>
          <t>No HTML rendering or sanitization needed.</t>
        </is>
      </c>
      <c r="H7" s="47" t="n"/>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Not Started</t>
        </is>
      </c>
      <c r="G9" s="47" t="inlineStr">
        <is>
          <t>CSP header to be configured via Spring Security in Phase 2.</t>
        </is>
      </c>
      <c r="H9" s="47" t="n"/>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Not Applicable</t>
        </is>
      </c>
      <c r="G10" s="52" t="inlineStr">
        <is>
          <t>No iframe usage; API does not serve HTML pages.</t>
        </is>
      </c>
      <c r="H10" s="52" t="n"/>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Compliant</t>
        </is>
      </c>
      <c r="G11" s="47" t="inlineStr">
        <is>
          <t>Content-Type header set correctly on all API responses by Spring Boot.</t>
        </is>
      </c>
      <c r="H11" s="47" t="inlineStr">
        <is>
          <t>src/main/java/pt/isep/desofs/enderchest/config/SecurityConfig.java</t>
        </is>
      </c>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Compliant</t>
        </is>
      </c>
      <c r="G12" s="52" t="inlineStr">
        <is>
          <t>X-Content-Type-Options: nosniff configured via Spring Security default headers.</t>
        </is>
      </c>
      <c r="H12" s="52" t="inlineStr">
        <is>
          <t>src/main/java/pt/isep/desofs/enderchest/config/SecurityConfig.java</t>
        </is>
      </c>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Not Started</t>
        </is>
      </c>
      <c r="G13" s="47" t="inlineStr">
        <is>
          <t>Referrer-Policy header to be configured in Phase 2.</t>
        </is>
      </c>
      <c r="H13" s="47" t="n"/>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Not Applicable</t>
        </is>
      </c>
      <c r="G15" s="47" t="inlineStr">
        <is>
          <t>Authentication uses JWT Bearer tokens, not cookies.</t>
        </is>
      </c>
      <c r="H15" s="47" t="n"/>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In Progress</t>
        </is>
      </c>
      <c r="G16" s="52" t="inlineStr">
        <is>
          <t>If any session cookies are used, Secure flag must be enforced. To be verified in Phase 2.</t>
        </is>
      </c>
      <c r="H16" s="52" t="n"/>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Not Applicable</t>
        </is>
      </c>
      <c r="G17" s="47" t="inlineStr">
        <is>
          <t>Authentication uses JWT Bearer tokens, not cookies.</t>
        </is>
      </c>
      <c r="H17" s="47" t="n"/>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Compliant</t>
        </is>
      </c>
      <c r="G18" s="52" t="inlineStr">
        <is>
          <t>Cookie scope restricted to application path. No cross-domain cookies used.</t>
        </is>
      </c>
      <c r="H18" s="52" t="n"/>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Not Applicable</t>
        </is>
      </c>
      <c r="G19" s="47" t="inlineStr">
        <is>
          <t>No cookie-based session management; JWT Bearer used.</t>
        </is>
      </c>
      <c r="H19" s="47" t="n"/>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In Progress</t>
        </is>
      </c>
      <c r="G20" s="52" t="inlineStr">
        <is>
          <t>Cookie encryption and integrity to be verified if any cookies are set in Phase 2.</t>
        </is>
      </c>
      <c r="H20" s="52" t="n"/>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Not Applicable</t>
        </is>
      </c>
      <c r="G21" s="47" t="inlineStr">
        <is>
          <t>No browser storage used for sensitive data.</t>
        </is>
      </c>
      <c r="H21" s="47" t="n"/>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Not Applicable</t>
        </is>
      </c>
      <c r="G22" s="52" t="inlineStr">
        <is>
          <t>Session fixation not applicable; stateless JWT-based authentication.</t>
        </is>
      </c>
      <c r="H22" s="52" t="n"/>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Not Applicable</t>
        </is>
      </c>
      <c r="G24" s="47" t="inlineStr">
        <is>
          <t>No static frontend resources served by this API.</t>
        </is>
      </c>
      <c r="H24" s="47" t="n"/>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Not Applicable</t>
        </is>
      </c>
      <c r="G25" s="52" t="inlineStr">
        <is>
          <t>No frontend served; CSP applied at API response level only.</t>
        </is>
      </c>
      <c r="H25" s="52" t="n"/>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Compliant</t>
        </is>
      </c>
      <c r="G26" s="47" t="inlineStr">
        <is>
          <t>CORS policy configured via Spring Security to allow only trusted origins.</t>
        </is>
      </c>
      <c r="H26" s="47" t="inlineStr">
        <is>
          <t>src/main/java/pt/isep/desofs/enderchest/config/SecurityConfig.java</t>
        </is>
      </c>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Not Applicable</t>
        </is>
      </c>
      <c r="G27" s="52" t="inlineStr">
        <is>
          <t>No postMessage usage; no frontend SPA.</t>
        </is>
      </c>
      <c r="H27" s="52" t="n"/>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Not Applicable</t>
        </is>
      </c>
      <c r="G28" s="47" t="inlineStr">
        <is>
          <t>No browser localStorage or sessionStorage used.</t>
        </is>
      </c>
      <c r="H28" s="47" t="n"/>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Not Applicable</t>
        </is>
      </c>
      <c r="G29" s="52" t="inlineStr">
        <is>
          <t>No window.opener usage; no frontend.</t>
        </is>
      </c>
      <c r="H29" s="52" t="n"/>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Not Applicable</t>
        </is>
      </c>
      <c r="G30" s="47" t="inlineStr">
        <is>
          <t>No custom protocol handlers registered.</t>
        </is>
      </c>
      <c r="H30" s="47" t="n"/>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Not Applicable</t>
        </is>
      </c>
      <c r="G31" s="52" t="inlineStr">
        <is>
          <t>No third-party JavaScript loaded.</t>
        </is>
      </c>
      <c r="H31" s="52" t="n"/>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Not Applicable</t>
        </is>
      </c>
      <c r="G33" s="47" t="inlineStr">
        <is>
          <t>No UI; clickjacking not applicable to a REST API.</t>
        </is>
      </c>
      <c r="H33" s="47" t="n"/>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Not Applicable</t>
        </is>
      </c>
      <c r="G35" s="47" t="inlineStr">
        <is>
          <t>Stateless JWT authentication; no CSRF risk with Bearer tokens.</t>
        </is>
      </c>
      <c r="H35" s="47" t="n"/>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Not Applicable</t>
        </is>
      </c>
      <c r="G36" s="52" t="inlineStr">
        <is>
          <t>No session cookies; CSRF tokens not required.</t>
        </is>
      </c>
      <c r="H36" s="52" t="n"/>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Not Applicable</t>
        </is>
      </c>
      <c r="G37" s="47" t="inlineStr">
        <is>
          <t>No cookie-based session; Double Submit Cookie pattern not needed.</t>
        </is>
      </c>
      <c r="H37" s="47" t="n"/>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Not Applicable</t>
        </is>
      </c>
      <c r="G38" s="52" t="inlineStr">
        <is>
          <t>No cookie-based session; Referer check not needed.</t>
        </is>
      </c>
      <c r="H38" s="52" t="n"/>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Not Applicable</t>
        </is>
      </c>
      <c r="G39" s="47" t="inlineStr">
        <is>
          <t>No session cookies; SameSite attribute not needed for CSRF protection.</t>
        </is>
      </c>
      <c r="H39" s="47" t="n"/>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Compliant</t>
        </is>
      </c>
      <c r="G3" s="47" t="inlineStr">
        <is>
          <t>All API endpoints require valid JWT. Spring Security filter chain enforces authentication before business logic.</t>
        </is>
      </c>
      <c r="H3" s="47" t="inlineStr">
        <is>
          <t>src/main/java/pt/isep/desofs/enderchest/config/SecurityConfig.java</t>
        </is>
      </c>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Compliant</t>
        </is>
      </c>
      <c r="G4" s="52" t="inlineStr">
        <is>
          <t>OpenAPI spec defines all endpoints. Spring MVC maps only defined HTTP verbs per endpoint.</t>
        </is>
      </c>
      <c r="H4" s="52" t="inlineStr">
        <is>
          <t>src/main/java/pt/isep/desofs/enderchest/controller/FileController.java</t>
        </is>
      </c>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56" t="inlineStr">
        <is>
          <t>Compliant</t>
        </is>
      </c>
      <c r="G5" s="47" t="inlineStr">
        <is>
          <t>Rate limiting enforced per-user via sliding-window RateLimiterFilter (100 req/60s). HTTP 429 + Retry-After header returned on breach. Tested in ST-10 (9 integration tests). Sprint 2.</t>
        </is>
      </c>
      <c r="H5" s="47" t="inlineStr">
        <is>
          <t>src/main/java/pt/isep/desofs/enderchest/config/RateLimiterFilter.java | src/test/java/pt/isep/desofs/enderchest/integration/RateLimiterIT.java (ST-10-01 to ST-10-09)</t>
        </is>
      </c>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56" t="inlineStr">
        <is>
          <t>Compliant</t>
        </is>
      </c>
      <c r="G6" s="52" t="inlineStr">
        <is>
          <t>OWASP ZAP API scan runs in CI (dast job) against live app with OpenAPI spec. Sprint 2.</t>
        </is>
      </c>
      <c r="H6" s="52" t="inlineStr">
        <is>
          <t>.github/workflows/ci.yml (dast job) | zap-dast-report artifact</t>
        </is>
      </c>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Not Started</t>
        </is>
      </c>
      <c r="G7" s="47" t="inlineStr">
        <is>
          <t>API versioning strategy to be finalised in Phase 2.</t>
        </is>
      </c>
      <c r="H7" s="47" t="n"/>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Compliant</t>
        </is>
      </c>
      <c r="G9" s="47" t="inlineStr">
        <is>
          <t>AccessShare aggregate checked server-side before every operation. Default deny: no AccessShare record -&gt; HTTP 403.</t>
        </is>
      </c>
      <c r="H9" s="47" t="inlineStr">
        <is>
          <t>src/main/java/pt/isep/desofs/enderchest/controller/FileController.java
src/main/java/pt/isep/desofs/enderchest/entity/AccessShare.java</t>
        </is>
      </c>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Compliant</t>
        </is>
      </c>
      <c r="G10" s="52" t="inlineStr">
        <is>
          <t>RBAC matrix enforced: DELETE=OWNER only, EDITOR=upload/download, VIEWER=download only.</t>
        </is>
      </c>
      <c r="H10" s="52" t="inlineStr">
        <is>
          <t>src/main/java/pt/isep/desofs/enderchest/controller/FileController.java</t>
        </is>
      </c>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Not Started</t>
        </is>
      </c>
      <c r="G11" s="47" t="inlineStr">
        <is>
          <t>API parameter tampering prevention to be verified in Phase 2.</t>
        </is>
      </c>
      <c r="H11" s="47" t="n"/>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Not Started</t>
        </is>
      </c>
      <c r="G12" s="52" t="inlineStr">
        <is>
          <t>HTTP verb tampering prevention to be verified in Phase 2.</t>
        </is>
      </c>
      <c r="H12" s="52" t="n"/>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Not Started</t>
        </is>
      </c>
      <c r="G13" s="47" t="inlineStr">
        <is>
          <t>Sensitive data in API responses to be reviewed in Phase 2.</t>
        </is>
      </c>
      <c r="H13" s="47" t="n"/>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Not Applicable</t>
        </is>
      </c>
      <c r="G15" s="47" t="inlineStr">
        <is>
          <t>No GraphQL endpoint in the system.</t>
        </is>
      </c>
      <c r="H15" s="47" t="n"/>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Not Applicable</t>
        </is>
      </c>
      <c r="G16" s="52" t="inlineStr">
        <is>
          <t>No GraphQL endpoint in the system.</t>
        </is>
      </c>
      <c r="H16" s="52" t="n"/>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Not Applicable</t>
        </is>
      </c>
      <c r="G18" s="47" t="inlineStr">
        <is>
          <t>No WebSocket endpoint in the system.</t>
        </is>
      </c>
      <c r="H18" s="47" t="n"/>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Not Applicable</t>
        </is>
      </c>
      <c r="G19" s="52" t="inlineStr">
        <is>
          <t>No WebSocket endpoint in the system.</t>
        </is>
      </c>
      <c r="H19" s="52" t="n"/>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Not Applicable</t>
        </is>
      </c>
      <c r="G20" s="47" t="inlineStr">
        <is>
          <t>No WebSocket endpoint in the system.</t>
        </is>
      </c>
      <c r="H20" s="47" t="n"/>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Not Applicable</t>
        </is>
      </c>
      <c r="G21" s="52" t="inlineStr">
        <is>
          <t>No WebSocket endpoint in the system.</t>
        </is>
      </c>
      <c r="H21" s="52" t="n"/>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V5.1</t>
        </is>
      </c>
      <c r="B2" s="44" t="inlineStr">
        <is>
          <t>File Handling Documentation</t>
        </is>
      </c>
      <c r="C2" s="44" t="n"/>
      <c r="D2" s="44" t="n"/>
      <c r="E2" s="44" t="n"/>
      <c r="F2" s="44" t="n"/>
      <c r="G2" s="44" t="n"/>
      <c r="H2" s="44" t="n"/>
    </row>
    <row r="3" ht="30" customHeight="1" s="28">
      <c r="A3" s="45" t="inlineStr">
        <is>
          <t>V5.1</t>
        </is>
      </c>
      <c r="B3" s="45" t="inlineStr">
        <is>
          <t>File Handling Documentation</t>
        </is>
      </c>
      <c r="C3" s="46" t="inlineStr">
        <is>
          <t>V5.1.1</t>
        </is>
      </c>
      <c r="D3" s="4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48" t="n">
        <v>2</v>
      </c>
      <c r="F3" s="49" t="inlineStr">
        <is>
          <t>Compliant</t>
        </is>
      </c>
      <c r="G3" s="47" t="inlineStr">
        <is>
          <t>Apache Tika validates file type via magic bytes; client-supplied Content-Type header never trusted.</t>
        </is>
      </c>
      <c r="H3" s="47" t="inlineStr">
        <is>
          <t>src/main/java/pt/isep/desofs/enderchest/service/FileStorageService.java</t>
        </is>
      </c>
    </row>
    <row r="4" ht="18" customHeight="1" s="28">
      <c r="A4" s="44" t="inlineStr">
        <is>
          <t>V5.2</t>
        </is>
      </c>
      <c r="B4" s="44" t="inlineStr">
        <is>
          <t>File Upload and Content</t>
        </is>
      </c>
      <c r="C4" s="44" t="n"/>
      <c r="D4" s="44" t="n"/>
      <c r="E4" s="44" t="n"/>
      <c r="F4" s="44" t="n"/>
      <c r="G4" s="44" t="n"/>
      <c r="H4" s="44" t="n"/>
    </row>
    <row r="5" ht="30" customHeight="1" s="28">
      <c r="A5" s="45" t="inlineStr">
        <is>
          <t>V5.2</t>
        </is>
      </c>
      <c r="B5" s="45" t="inlineStr">
        <is>
          <t>File Upload and Content</t>
        </is>
      </c>
      <c r="C5" s="46" t="inlineStr">
        <is>
          <t>V5.2.1</t>
        </is>
      </c>
      <c r="D5" s="47" t="inlineStr">
        <is>
          <t>Verify that the application will only accept files of a size which it can process without causing a loss of performance or a denial of service attack.</t>
        </is>
      </c>
      <c r="E5" s="53" t="n">
        <v>1</v>
      </c>
      <c r="F5" s="49" t="inlineStr">
        <is>
          <t>Compliant</t>
        </is>
      </c>
      <c r="G5" s="47" t="inlineStr">
        <is>
          <t>MIME type whitelist enforced via Apache Tika before any processing.</t>
        </is>
      </c>
      <c r="H5" s="47" t="inlineStr">
        <is>
          <t>src/main/java/pt/isep/desofs/enderchest/service/FileStorageService.java</t>
        </is>
      </c>
    </row>
    <row r="6" ht="30" customHeight="1" s="28">
      <c r="A6" s="50" t="inlineStr">
        <is>
          <t>V5.2</t>
        </is>
      </c>
      <c r="B6" s="50" t="inlineStr">
        <is>
          <t>File Upload and Content</t>
        </is>
      </c>
      <c r="C6" s="51" t="inlineStr">
        <is>
          <t>V5.2.2</t>
        </is>
      </c>
      <c r="D6" s="52"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53" t="n">
        <v>1</v>
      </c>
      <c r="F6" s="49" t="inlineStr">
        <is>
          <t>Compliant</t>
        </is>
      </c>
      <c r="G6" s="52" t="inlineStr">
        <is>
          <t>Maximum file size enforced before buffering. Per-user StorageQuota aggregate checked before write.</t>
        </is>
      </c>
      <c r="H6" s="52" t="inlineStr">
        <is>
          <t>src/main/java/pt/isep/desofs/enderchest/service/FileStorageService.java</t>
        </is>
      </c>
    </row>
    <row r="7" ht="30" customHeight="1" s="28">
      <c r="A7" s="45" t="inlineStr">
        <is>
          <t>V5.2</t>
        </is>
      </c>
      <c r="B7" s="45" t="inlineStr">
        <is>
          <t>File Upload and Content</t>
        </is>
      </c>
      <c r="C7" s="46" t="inlineStr">
        <is>
          <t>V5.2.3</t>
        </is>
      </c>
      <c r="D7" s="47" t="inlineStr">
        <is>
          <t>Verify that the application checks compressed files (e.g., zip, gz, docx, odt) against maximum allowed uncompressed size and against maximum number of files before uncompressing the file.</t>
        </is>
      </c>
      <c r="E7" s="48" t="n">
        <v>2</v>
      </c>
      <c r="F7" s="49" t="inlineStr">
        <is>
          <t>Compliant</t>
        </is>
      </c>
      <c r="G7" s="47" t="inlineStr">
        <is>
          <t>Files stored as UUID-named blobs outside web root. Original filename stored in DB only, never used as path component.</t>
        </is>
      </c>
      <c r="H7" s="47" t="inlineStr">
        <is>
          <t>src/main/java/pt/isep/desofs/enderchest/service/FileStorageService.java</t>
        </is>
      </c>
    </row>
    <row r="8" ht="30" customHeight="1" s="28">
      <c r="A8" s="50" t="inlineStr">
        <is>
          <t>V5.2</t>
        </is>
      </c>
      <c r="B8" s="50" t="inlineStr">
        <is>
          <t>File Upload and Content</t>
        </is>
      </c>
      <c r="C8" s="51" t="inlineStr">
        <is>
          <t>V5.2.4</t>
        </is>
      </c>
      <c r="D8" s="52" t="inlineStr">
        <is>
          <t>Verify that a file size quota and maximum number of files per user are enforced to ensure that a single user cannot fill up the storage with too many files, or excessively large files.</t>
        </is>
      </c>
      <c r="E8" s="54" t="n">
        <v>3</v>
      </c>
      <c r="F8" s="49" t="inlineStr">
        <is>
          <t>Compliant</t>
        </is>
      </c>
      <c r="G8" s="52" t="inlineStr">
        <is>
          <t>Storage directory outside web root. Files never served via static URL.</t>
        </is>
      </c>
      <c r="H8" s="52" t="inlineStr">
        <is>
          <t>src/main/java/pt/isep/desofs/enderchest/service/FileStorageService.java</t>
        </is>
      </c>
    </row>
    <row r="9" ht="30" customHeight="1" s="28">
      <c r="A9" s="45" t="inlineStr">
        <is>
          <t>V5.2</t>
        </is>
      </c>
      <c r="B9" s="45" t="inlineStr">
        <is>
          <t>File Upload and Content</t>
        </is>
      </c>
      <c r="C9" s="46" t="inlineStr">
        <is>
          <t>V5.2.5</t>
        </is>
      </c>
      <c r="D9" s="47" t="inlineStr">
        <is>
          <t>Verify that the application does not allow uploading compressed files containing symlinks unless this is specifically required (in which case it will be necessary to enforce an allowlist of the files that can be symlinked to).</t>
        </is>
      </c>
      <c r="E9" s="54" t="n">
        <v>3</v>
      </c>
      <c r="F9" s="49" t="inlineStr">
        <is>
          <t>Compliant</t>
        </is>
      </c>
      <c r="G9" s="47" t="inlineStr">
        <is>
          <t>UUID filenames and storage outside web root prevent direct access. All downloads proxied through API with AccessShare enforcement.</t>
        </is>
      </c>
      <c r="H9" s="47" t="inlineStr">
        <is>
          <t>src/main/java/pt/isep/desofs/enderchest/service/FileStorageService.java</t>
        </is>
      </c>
    </row>
    <row r="10" ht="30" customHeight="1" s="28">
      <c r="A10" s="50" t="inlineStr">
        <is>
          <t>V5.2</t>
        </is>
      </c>
      <c r="B10" s="50" t="inlineStr">
        <is>
          <t>File Upload and Content</t>
        </is>
      </c>
      <c r="C10" s="51" t="inlineStr">
        <is>
          <t>V5.2.6</t>
        </is>
      </c>
      <c r="D10" s="52" t="inlineStr">
        <is>
          <t>Verify that the application rejects uploaded images with a pixel size larger than the maximum allowed, to prevent pixel flood attacks.</t>
        </is>
      </c>
      <c r="E10" s="54" t="n">
        <v>3</v>
      </c>
      <c r="F10" s="49" t="inlineStr">
        <is>
          <t>Not Started</t>
        </is>
      </c>
      <c r="G10" s="52" t="inlineStr">
        <is>
          <t>Malware scanning integration to be evaluated in Phase 2.</t>
        </is>
      </c>
      <c r="H10" s="52" t="n"/>
    </row>
    <row r="11" ht="18" customHeight="1" s="28">
      <c r="A11" s="44" t="inlineStr">
        <is>
          <t>V5.3</t>
        </is>
      </c>
      <c r="B11" s="44" t="inlineStr">
        <is>
          <t>File Storage</t>
        </is>
      </c>
      <c r="C11" s="44" t="n"/>
      <c r="D11" s="44" t="n"/>
      <c r="E11" s="44" t="n"/>
      <c r="F11" s="44" t="n"/>
      <c r="G11" s="44" t="n"/>
      <c r="H11" s="44" t="n"/>
    </row>
    <row r="12" ht="30" customHeight="1" s="28">
      <c r="A12" s="45" t="inlineStr">
        <is>
          <t>V5.3</t>
        </is>
      </c>
      <c r="B12" s="45" t="inlineStr">
        <is>
          <t>File Storage</t>
        </is>
      </c>
      <c r="C12" s="46" t="inlineStr">
        <is>
          <t>V5.3.1</t>
        </is>
      </c>
      <c r="D12" s="47" t="inlineStr">
        <is>
          <t>Verify that files uploaded or generated by untrusted input and stored in a public folder, are not executed as server-side program code when accessed directly with an HTTP request.</t>
        </is>
      </c>
      <c r="E12" s="53" t="n">
        <v>1</v>
      </c>
      <c r="F12" s="49" t="inlineStr">
        <is>
          <t>Compliant</t>
        </is>
      </c>
      <c r="G12" s="47" t="inlineStr">
        <is>
          <t>java.nio.file.Path.normalize() applied; result verified against base directory before I/O.</t>
        </is>
      </c>
      <c r="H12" s="47" t="inlineStr">
        <is>
          <t>src/main/java/pt/isep/desofs/enderchest/service/FileStorageService.java</t>
        </is>
      </c>
    </row>
    <row r="13" ht="30" customHeight="1" s="28">
      <c r="A13" s="50" t="inlineStr">
        <is>
          <t>V5.3</t>
        </is>
      </c>
      <c r="B13" s="50" t="inlineStr">
        <is>
          <t>File Storage</t>
        </is>
      </c>
      <c r="C13" s="51" t="inlineStr">
        <is>
          <t>V5.3.2</t>
        </is>
      </c>
      <c r="D13" s="52"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53" t="n">
        <v>1</v>
      </c>
      <c r="F13" s="49" t="inlineStr">
        <is>
          <t>Compliant</t>
        </is>
      </c>
      <c r="G13" s="52" t="inlineStr">
        <is>
          <t>UUID filenames; storage directory has no execute permissions. Uploaded files cannot be executed.</t>
        </is>
      </c>
      <c r="H13" s="52" t="inlineStr">
        <is>
          <t>src/main/java/pt/isep/desofs/enderchest/service/FileStorageService.java</t>
        </is>
      </c>
    </row>
    <row r="14" ht="30" customHeight="1" s="28">
      <c r="A14" s="45" t="inlineStr">
        <is>
          <t>V5.3</t>
        </is>
      </c>
      <c r="B14" s="45" t="inlineStr">
        <is>
          <t>File Storage</t>
        </is>
      </c>
      <c r="C14" s="46" t="inlineStr">
        <is>
          <t>V5.3.3</t>
        </is>
      </c>
      <c r="D14" s="47" t="inlineStr">
        <is>
          <t>Verify that server-side file processing, such as file decompression, ignores user-provided path information to prevent vulnerabilities such as zip slip.</t>
        </is>
      </c>
      <c r="E14" s="54" t="n">
        <v>3</v>
      </c>
      <c r="F14" s="49" t="inlineStr">
        <is>
          <t>Compliant</t>
        </is>
      </c>
      <c r="G14" s="47" t="inlineStr">
        <is>
          <t>Files served only via API endpoints. All downloads proxied through application with AccessShare enforcement.</t>
        </is>
      </c>
      <c r="H14" s="47" t="inlineStr">
        <is>
          <t>src/main/java/pt/isep/desofs/enderchest/controller/FileController.java</t>
        </is>
      </c>
    </row>
    <row r="15" ht="18" customHeight="1" s="28">
      <c r="A15" s="44" t="inlineStr">
        <is>
          <t>V5.4</t>
        </is>
      </c>
      <c r="B15" s="44" t="inlineStr">
        <is>
          <t>File Download</t>
        </is>
      </c>
      <c r="C15" s="44" t="n"/>
      <c r="D15" s="44" t="n"/>
      <c r="E15" s="44" t="n"/>
      <c r="F15" s="44" t="n"/>
      <c r="G15" s="44" t="n"/>
      <c r="H15" s="44" t="n"/>
    </row>
    <row r="16" ht="30" customHeight="1" s="28">
      <c r="A16" s="45" t="inlineStr">
        <is>
          <t>V5.4</t>
        </is>
      </c>
      <c r="B16" s="45" t="inlineStr">
        <is>
          <t>File Download</t>
        </is>
      </c>
      <c r="C16" s="46" t="inlineStr">
        <is>
          <t>V5.4.1</t>
        </is>
      </c>
      <c r="D16" s="47" t="inlineStr">
        <is>
          <t>Verify that the application validates or ignores user-submitted filenames, including in a JSON, JSONP, or URL parameter and specifies a filename in the Content-Disposition header field in the response.</t>
        </is>
      </c>
      <c r="E16" s="48" t="n">
        <v>2</v>
      </c>
      <c r="F16" s="49" t="inlineStr">
        <is>
          <t>Compliant</t>
        </is>
      </c>
      <c r="G16" s="47" t="inlineStr">
        <is>
          <t>UUID filenames prevent guessing; AccessShare check required for every download.</t>
        </is>
      </c>
      <c r="H16" s="47" t="inlineStr">
        <is>
          <t>src/main/java/pt/isep/desofs/enderchest/entity/AccessShare.java
src/main/java/pt/isep/desofs/enderchest/controller/FileController.java</t>
        </is>
      </c>
    </row>
    <row r="17" ht="30" customHeight="1" s="28">
      <c r="A17" s="50" t="inlineStr">
        <is>
          <t>V5.4</t>
        </is>
      </c>
      <c r="B17" s="50" t="inlineStr">
        <is>
          <t>File Download</t>
        </is>
      </c>
      <c r="C17" s="51" t="inlineStr">
        <is>
          <t>V5.4.2</t>
        </is>
      </c>
      <c r="D17" s="52" t="inlineStr">
        <is>
          <t>Verify that file names served (e.g., in HTTP response header fields or email attachments) are encoded or sanitized (e.g., following RFC 6266) to preserve document structure and prevent injection attacks.</t>
        </is>
      </c>
      <c r="E17" s="48" t="n">
        <v>2</v>
      </c>
      <c r="F17" s="56" t="inlineStr">
        <is>
          <t>Compliant</t>
        </is>
      </c>
      <c r="G17" s="52" t="inlineStr">
        <is>
          <t>File integrity verification (checksums) to be implemented in Phase 2.</t>
        </is>
      </c>
      <c r="H17" s="52" t="inlineStr">
        <is>
          <t>src/main/java/pt/isep/desofs/enderchest/service/FileStorageService.java (SHA-256 hash stored at upload)
src/main/java/pt/isep/desofs/enderchest/controller/FileController.java (hash verified at download)</t>
        </is>
      </c>
    </row>
    <row r="18" ht="30" customHeight="1" s="28">
      <c r="A18" s="45" t="inlineStr">
        <is>
          <t>V5.4</t>
        </is>
      </c>
      <c r="B18" s="45" t="inlineStr">
        <is>
          <t>File Download</t>
        </is>
      </c>
      <c r="C18" s="46" t="inlineStr">
        <is>
          <t>V5.4.3</t>
        </is>
      </c>
      <c r="D18" s="47" t="inlineStr">
        <is>
          <t>Verify that files obtained from untrusted sources are scanned by antivirus scanners to prevent serving of known malicious content.</t>
        </is>
      </c>
      <c r="E18" s="48" t="n">
        <v>2</v>
      </c>
      <c r="F18" s="49" t="inlineStr">
        <is>
          <t>Not Started</t>
        </is>
      </c>
      <c r="G18" s="47" t="inlineStr">
        <is>
          <t>File quarantine / sandbox analysis to be evaluated in Phase 2.</t>
        </is>
      </c>
      <c r="H18" s="47"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V6.1</t>
        </is>
      </c>
      <c r="B2" s="44" t="inlineStr">
        <is>
          <t>Authentication Documentation</t>
        </is>
      </c>
      <c r="C2" s="44" t="n"/>
      <c r="D2" s="44" t="n"/>
      <c r="E2" s="44" t="n"/>
      <c r="F2" s="44" t="n"/>
      <c r="G2" s="44" t="n"/>
      <c r="H2" s="44" t="n"/>
    </row>
    <row r="3" ht="30" customHeight="1" s="28">
      <c r="A3" s="45" t="inlineStr">
        <is>
          <t>V6.1</t>
        </is>
      </c>
      <c r="B3" s="45" t="inlineStr">
        <is>
          <t>Authentication Documentation</t>
        </is>
      </c>
      <c r="C3" s="46" t="inlineStr">
        <is>
          <t>V6.1.1</t>
        </is>
      </c>
      <c r="D3" s="4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53" t="n">
        <v>1</v>
      </c>
      <c r="F3" s="49" t="inlineStr">
        <is>
          <t>Compliant</t>
        </is>
      </c>
      <c r="G3" s="47" t="inlineStr">
        <is>
          <t>Passwords hashed with BCrypt or Argon2id with appropriate work factor. Never stored in plaintext.</t>
        </is>
      </c>
      <c r="H3" s="47" t="inlineStr">
        <is>
          <t>src/main/resources/application.properties – Auth0 manages password hashing</t>
        </is>
      </c>
    </row>
    <row r="4" ht="30" customHeight="1" s="28">
      <c r="A4" s="50" t="inlineStr">
        <is>
          <t>V6.1</t>
        </is>
      </c>
      <c r="B4" s="50" t="inlineStr">
        <is>
          <t>Authentication Documentation</t>
        </is>
      </c>
      <c r="C4" s="51" t="inlineStr">
        <is>
          <t>V6.1.2</t>
        </is>
      </c>
      <c r="D4" s="52" t="inlineStr">
        <is>
          <t>Verify that a list of context-specific words is documented in order to prevent their use in passwords. The list could include permutations of organization names, product names, system identifiers, project codenames, department or role names, and similar.</t>
        </is>
      </c>
      <c r="E4" s="48" t="n">
        <v>2</v>
      </c>
      <c r="F4" s="49" t="inlineStr">
        <is>
          <t>Compliant</t>
        </is>
      </c>
      <c r="G4" s="52" t="inlineStr">
        <is>
          <t>Only BCrypt or Argon2id permitted. MD5, SHA-1, unsalted SHA-256 explicitly prohibited.</t>
        </is>
      </c>
      <c r="H4" s="52" t="inlineStr">
        <is>
          <t>src/main/resources/application.properties – Auth0 enforces approved algorithms</t>
        </is>
      </c>
    </row>
    <row r="5" ht="30" customHeight="1" s="28">
      <c r="A5" s="45" t="inlineStr">
        <is>
          <t>V6.1</t>
        </is>
      </c>
      <c r="B5" s="45" t="inlineStr">
        <is>
          <t>Authentication Documentation</t>
        </is>
      </c>
      <c r="C5" s="46" t="inlineStr">
        <is>
          <t>V6.1.3</t>
        </is>
      </c>
      <c r="D5" s="47" t="inlineStr">
        <is>
          <t>Verify that, if the application includes multiple authentication pathways, these are all documented together with the security controls and authentication strength which must be consistently enforced across them.</t>
        </is>
      </c>
      <c r="E5" s="48" t="n">
        <v>2</v>
      </c>
      <c r="F5" s="49" t="inlineStr">
        <is>
          <t>Not Started</t>
        </is>
      </c>
      <c r="G5" s="47" t="inlineStr">
        <is>
          <t>Password strength policy (min 12 chars) to be enforced at registration endpoint in Phase 2.</t>
        </is>
      </c>
      <c r="H5" s="47" t="n"/>
    </row>
    <row r="6" ht="18" customHeight="1" s="28">
      <c r="A6" s="44" t="inlineStr">
        <is>
          <t>V6.2</t>
        </is>
      </c>
      <c r="B6" s="44" t="inlineStr">
        <is>
          <t>Password Security</t>
        </is>
      </c>
      <c r="C6" s="44" t="n"/>
      <c r="D6" s="44" t="n"/>
      <c r="E6" s="44" t="n"/>
      <c r="F6" s="44" t="n"/>
      <c r="G6" s="44" t="n"/>
      <c r="H6" s="44" t="n"/>
    </row>
    <row r="7" ht="30" customHeight="1" s="28">
      <c r="A7" s="45" t="inlineStr">
        <is>
          <t>V6.2</t>
        </is>
      </c>
      <c r="B7" s="45" t="inlineStr">
        <is>
          <t>Password Security</t>
        </is>
      </c>
      <c r="C7" s="46" t="inlineStr">
        <is>
          <t>V6.2.1</t>
        </is>
      </c>
      <c r="D7" s="47" t="inlineStr">
        <is>
          <t>Verify that user set passwords are at least 8 characters in length although a minimum of 15 characters is strongly recommended.</t>
        </is>
      </c>
      <c r="E7" s="53" t="n">
        <v>1</v>
      </c>
      <c r="F7" s="49" t="inlineStr">
        <is>
          <t>In Progress</t>
        </is>
      </c>
      <c r="G7" s="47" t="inlineStr">
        <is>
          <t>Rate limiting on auth endpoint defined (SDR-10): HTTP 429 after N failures. IsLocked=true on User aggregate. Thresholds to be configured in Phase 2.</t>
        </is>
      </c>
      <c r="H7" s="47" t="n"/>
    </row>
    <row r="8" ht="30" customHeight="1" s="28">
      <c r="A8" s="50" t="inlineStr">
        <is>
          <t>V6.2</t>
        </is>
      </c>
      <c r="B8" s="50" t="inlineStr">
        <is>
          <t>Password Security</t>
        </is>
      </c>
      <c r="C8" s="51" t="inlineStr">
        <is>
          <t>V6.2.2</t>
        </is>
      </c>
      <c r="D8" s="52" t="inlineStr">
        <is>
          <t>Verify that users can change their password.</t>
        </is>
      </c>
      <c r="E8" s="53" t="n">
        <v>1</v>
      </c>
      <c r="F8" s="49" t="inlineStr">
        <is>
          <t>Not Started</t>
        </is>
      </c>
      <c r="G8" s="52" t="inlineStr">
        <is>
          <t>Account lockout notification to user to be implemented in Phase 2.</t>
        </is>
      </c>
      <c r="H8" s="52" t="n"/>
    </row>
    <row r="9" ht="30" customHeight="1" s="28">
      <c r="A9" s="45" t="inlineStr">
        <is>
          <t>V6.2</t>
        </is>
      </c>
      <c r="B9" s="45" t="inlineStr">
        <is>
          <t>Password Security</t>
        </is>
      </c>
      <c r="C9" s="46" t="inlineStr">
        <is>
          <t>V6.2.3</t>
        </is>
      </c>
      <c r="D9" s="47" t="inlineStr">
        <is>
          <t>Verify that password change functionality requires the user's current and new password.</t>
        </is>
      </c>
      <c r="E9" s="53" t="n">
        <v>1</v>
      </c>
      <c r="F9" s="49" t="inlineStr">
        <is>
          <t>Not Started</t>
        </is>
      </c>
      <c r="G9" s="47" t="inlineStr">
        <is>
          <t>Secure password reset flow (one-time token, expiry) to be implemented in Phase 2.</t>
        </is>
      </c>
      <c r="H9" s="47" t="n"/>
    </row>
    <row r="10" ht="30" customHeight="1" s="28">
      <c r="A10" s="50" t="inlineStr">
        <is>
          <t>V6.2</t>
        </is>
      </c>
      <c r="B10" s="50" t="inlineStr">
        <is>
          <t>Password Security</t>
        </is>
      </c>
      <c r="C10" s="51" t="inlineStr">
        <is>
          <t>V6.2.4</t>
        </is>
      </c>
      <c r="D10" s="52" t="inlineStr">
        <is>
          <t>Verify that passwords submitted during account registration or password change are checked against an available set of, at least, the top 3000 passwords which match the application's password policy, e.g. minimum length.</t>
        </is>
      </c>
      <c r="E10" s="53" t="n">
        <v>1</v>
      </c>
      <c r="F10" s="49" t="inlineStr">
        <is>
          <t>In Progress</t>
        </is>
      </c>
      <c r="G10" s="52" t="inlineStr">
        <is>
          <t>CAPTCHA or exponential backoff against credential stuffing to be decided in Phase 2. Current design: IP-based rate limiting via SDR-10.</t>
        </is>
      </c>
      <c r="H10" s="52" t="n"/>
    </row>
    <row r="11" ht="30" customHeight="1" s="28">
      <c r="A11" s="45" t="inlineStr">
        <is>
          <t>V6.2</t>
        </is>
      </c>
      <c r="B11" s="45" t="inlineStr">
        <is>
          <t>Password Security</t>
        </is>
      </c>
      <c r="C11" s="46" t="inlineStr">
        <is>
          <t>V6.2.5</t>
        </is>
      </c>
      <c r="D11" s="47" t="inlineStr">
        <is>
          <t>Verify that passwords of any composition can be used, without rules limiting the type of characters permitted. There must be no requirement for a minimum number of upper or lower case characters, numbers, or special characters.</t>
        </is>
      </c>
      <c r="E11" s="53" t="n">
        <v>1</v>
      </c>
      <c r="F11" s="49" t="inlineStr">
        <is>
          <t>Not Started</t>
        </is>
      </c>
      <c r="G11" s="47" t="inlineStr">
        <is>
          <t>Breached password check to be evaluated in Phase 2.</t>
        </is>
      </c>
      <c r="H11" s="47" t="n"/>
    </row>
    <row r="12" ht="30" customHeight="1" s="28">
      <c r="A12" s="50" t="inlineStr">
        <is>
          <t>V6.2</t>
        </is>
      </c>
      <c r="B12" s="50" t="inlineStr">
        <is>
          <t>Password Security</t>
        </is>
      </c>
      <c r="C12" s="51" t="inlineStr">
        <is>
          <t>V6.2.6</t>
        </is>
      </c>
      <c r="D12" s="52" t="inlineStr">
        <is>
          <t>Verify that password input fields use type=password to mask the entry. Applications may allow the user to temporarily view the entire masked password, or the last typed character of the password.</t>
        </is>
      </c>
      <c r="E12" s="53" t="n">
        <v>1</v>
      </c>
      <c r="F12" s="49" t="inlineStr">
        <is>
          <t>Not Started</t>
        </is>
      </c>
      <c r="G12" s="52" t="inlineStr">
        <is>
          <t>Multi-factor authentication support to be designed in Phase 2.</t>
        </is>
      </c>
      <c r="H12" s="52" t="n"/>
    </row>
    <row r="13" ht="30" customHeight="1" s="28">
      <c r="A13" s="45" t="inlineStr">
        <is>
          <t>V6.2</t>
        </is>
      </c>
      <c r="B13" s="45" t="inlineStr">
        <is>
          <t>Password Security</t>
        </is>
      </c>
      <c r="C13" s="46" t="inlineStr">
        <is>
          <t>V6.2.7</t>
        </is>
      </c>
      <c r="D13" s="47" t="inlineStr">
        <is>
          <t>Verify that "paste" functionality, browser password helpers, and external password managers are permitted.</t>
        </is>
      </c>
      <c r="E13" s="53" t="n">
        <v>1</v>
      </c>
      <c r="F13" s="49" t="inlineStr">
        <is>
          <t>Not Started</t>
        </is>
      </c>
      <c r="G13" s="47" t="inlineStr">
        <is>
          <t>MFA recovery codes to be designed if MFA is implemented.</t>
        </is>
      </c>
      <c r="H13" s="47" t="n"/>
    </row>
    <row r="14" ht="30" customHeight="1" s="28">
      <c r="A14" s="50" t="inlineStr">
        <is>
          <t>V6.2</t>
        </is>
      </c>
      <c r="B14" s="50" t="inlineStr">
        <is>
          <t>Password Security</t>
        </is>
      </c>
      <c r="C14" s="51" t="inlineStr">
        <is>
          <t>V6.2.8</t>
        </is>
      </c>
      <c r="D14" s="52" t="inlineStr">
        <is>
          <t>Verify that the application verifies the user's password exactly as received from the user, without any modifications such as truncation or case transformation.</t>
        </is>
      </c>
      <c r="E14" s="53" t="n">
        <v>1</v>
      </c>
      <c r="F14" s="49" t="inlineStr">
        <is>
          <t>Not Applicable</t>
        </is>
      </c>
      <c r="G14" s="52" t="inlineStr">
        <is>
          <t>Hardware tokens (FIDO2) not in scope.</t>
        </is>
      </c>
      <c r="H14" s="52" t="n"/>
    </row>
    <row r="15" ht="30" customHeight="1" s="28">
      <c r="A15" s="45" t="inlineStr">
        <is>
          <t>V6.2</t>
        </is>
      </c>
      <c r="B15" s="45" t="inlineStr">
        <is>
          <t>Password Security</t>
        </is>
      </c>
      <c r="C15" s="46" t="inlineStr">
        <is>
          <t>V6.2.9</t>
        </is>
      </c>
      <c r="D15" s="47" t="inlineStr">
        <is>
          <t>Verify that passwords of at least 64 characters are permitted.</t>
        </is>
      </c>
      <c r="E15" s="48" t="n">
        <v>2</v>
      </c>
      <c r="F15" s="49" t="inlineStr">
        <is>
          <t>Not Applicable</t>
        </is>
      </c>
      <c r="G15" s="47" t="inlineStr">
        <is>
          <t>Biometric authentication not in scope.</t>
        </is>
      </c>
      <c r="H15" s="47" t="n"/>
    </row>
    <row r="16" ht="30" customHeight="1" s="28">
      <c r="A16" s="50" t="inlineStr">
        <is>
          <t>V6.2</t>
        </is>
      </c>
      <c r="B16" s="50" t="inlineStr">
        <is>
          <t>Password Security</t>
        </is>
      </c>
      <c r="C16" s="51" t="inlineStr">
        <is>
          <t>V6.2.10</t>
        </is>
      </c>
      <c r="D16" s="52" t="inlineStr">
        <is>
          <t>Verify that a user's password stays valid until it is discovered to be compromised or the user rotates it. The application must not require periodic credential rotation.</t>
        </is>
      </c>
      <c r="E16" s="48" t="n">
        <v>2</v>
      </c>
      <c r="F16" s="49" t="inlineStr">
        <is>
          <t>Not Applicable</t>
        </is>
      </c>
      <c r="G16" s="52" t="inlineStr">
        <is>
          <t>SMS OTP not planned.</t>
        </is>
      </c>
      <c r="H16" s="52" t="n"/>
    </row>
    <row r="17" ht="30" customHeight="1" s="28">
      <c r="A17" s="45" t="inlineStr">
        <is>
          <t>V6.2</t>
        </is>
      </c>
      <c r="B17" s="45" t="inlineStr">
        <is>
          <t>Password Security</t>
        </is>
      </c>
      <c r="C17" s="46" t="inlineStr">
        <is>
          <t>V6.2.11</t>
        </is>
      </c>
      <c r="D17" s="47" t="inlineStr">
        <is>
          <t>Verify that the documented list of context specific words is used to prevent easy to guess passwords being created.</t>
        </is>
      </c>
      <c r="E17" s="48" t="n">
        <v>2</v>
      </c>
      <c r="F17" s="49" t="inlineStr">
        <is>
          <t>Not Applicable</t>
        </is>
      </c>
      <c r="G17" s="47" t="inlineStr">
        <is>
          <t>Push notifications for MFA not planned.</t>
        </is>
      </c>
      <c r="H17" s="47" t="n"/>
    </row>
    <row r="18" ht="30" customHeight="1" s="28">
      <c r="A18" s="50" t="inlineStr">
        <is>
          <t>V6.2</t>
        </is>
      </c>
      <c r="B18" s="50" t="inlineStr">
        <is>
          <t>Password Security</t>
        </is>
      </c>
      <c r="C18" s="51" t="inlineStr">
        <is>
          <t>V6.2.12</t>
        </is>
      </c>
      <c r="D18" s="52" t="inlineStr">
        <is>
          <t>Verify that passwords submitted during account registration or password changes are checked against a set of breached passwords.</t>
        </is>
      </c>
      <c r="E18" s="48" t="n">
        <v>2</v>
      </c>
      <c r="F18" s="49" t="inlineStr">
        <is>
          <t>Not Started</t>
        </is>
      </c>
      <c r="G18" s="52" t="inlineStr">
        <is>
          <t>TOTP to be evaluated in Phase 2 if MFA is added.</t>
        </is>
      </c>
      <c r="H18" s="52" t="n"/>
    </row>
    <row r="19" ht="18" customHeight="1" s="28">
      <c r="A19" s="44" t="inlineStr">
        <is>
          <t>V6.3</t>
        </is>
      </c>
      <c r="B19" s="44" t="inlineStr">
        <is>
          <t>General Authentication Security</t>
        </is>
      </c>
      <c r="C19" s="44" t="n"/>
      <c r="D19" s="44" t="n"/>
      <c r="E19" s="44" t="n"/>
      <c r="F19" s="44" t="n"/>
      <c r="G19" s="44" t="n"/>
      <c r="H19" s="44" t="n"/>
    </row>
    <row r="20" ht="30" customHeight="1" s="28">
      <c r="A20" s="45" t="inlineStr">
        <is>
          <t>V6.3</t>
        </is>
      </c>
      <c r="B20" s="45" t="inlineStr">
        <is>
          <t>General Authentication Security</t>
        </is>
      </c>
      <c r="C20" s="46" t="inlineStr">
        <is>
          <t>V6.3.1</t>
        </is>
      </c>
      <c r="D20" s="47" t="inlineStr">
        <is>
          <t>Verify that controls to prevent attacks such as credential stuffing and password brute force are implemented according to the application's security documentation.</t>
        </is>
      </c>
      <c r="E20" s="53" t="n">
        <v>1</v>
      </c>
      <c r="F20" s="49" t="inlineStr">
        <is>
          <t>Compliant</t>
        </is>
      </c>
      <c r="G20" s="47" t="inlineStr">
        <is>
          <t>Generic 'Invalid credentials' error returned for both user-not-found and wrong-password. Prevents user enumeration.</t>
        </is>
      </c>
      <c r="H20" s="47" t="inlineStr">
        <is>
          <t>src/main/java/pt/isep/desofs/enderchest/config/GlobalSecurityExceptionHandler.java</t>
        </is>
      </c>
    </row>
    <row r="21" ht="30" customHeight="1" s="28">
      <c r="A21" s="50" t="inlineStr">
        <is>
          <t>V6.3</t>
        </is>
      </c>
      <c r="B21" s="50" t="inlineStr">
        <is>
          <t>General Authentication Security</t>
        </is>
      </c>
      <c r="C21" s="51" t="inlineStr">
        <is>
          <t>V6.3.2</t>
        </is>
      </c>
      <c r="D21" s="52" t="inlineStr">
        <is>
          <t>Verify that default user accounts (e.g., "root", "admin", or "sa") are not present in the application or are disabled.</t>
        </is>
      </c>
      <c r="E21" s="53" t="n">
        <v>1</v>
      </c>
      <c r="F21" s="49" t="inlineStr">
        <is>
          <t>Not Started</t>
        </is>
      </c>
      <c r="G21" s="52" t="inlineStr">
        <is>
          <t>Password policy feedback to user to be implemented in Phase 2.</t>
        </is>
      </c>
      <c r="H21" s="52" t="n"/>
    </row>
    <row r="22" ht="30" customHeight="1" s="28">
      <c r="A22" s="45" t="inlineStr">
        <is>
          <t>V6.3</t>
        </is>
      </c>
      <c r="B22" s="45" t="inlineStr">
        <is>
          <t>General Authentication Security</t>
        </is>
      </c>
      <c r="C22" s="46" t="inlineStr">
        <is>
          <t>V6.3.3</t>
        </is>
      </c>
      <c r="D22" s="4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48" t="n">
        <v>2</v>
      </c>
      <c r="F22" s="56" t="inlineStr">
        <is>
          <t>Compliant</t>
        </is>
      </c>
      <c r="G22" s="47" t="inlineStr">
        <is>
          <t>JWT signing key stored in environment variable / secrets vault. Never hardcoded in source. Key rotation procedure to be defined in Phase 2.</t>
        </is>
      </c>
      <c r="H22" s="47" t="inlineStr">
        <is>
          <t>src/main/resources/application.properties – Auth0 issuer-uri / jwk-set-uri configured; key never hardcoded</t>
        </is>
      </c>
    </row>
    <row r="23" ht="30" customHeight="1" s="28">
      <c r="A23" s="50" t="inlineStr">
        <is>
          <t>V6.3</t>
        </is>
      </c>
      <c r="B23" s="50" t="inlineStr">
        <is>
          <t>General Authentication Security</t>
        </is>
      </c>
      <c r="C23" s="51" t="inlineStr">
        <is>
          <t>V6.3.4</t>
        </is>
      </c>
      <c r="D23" s="52" t="inlineStr">
        <is>
          <t>Verify that, if the application includes multiple authentication pathways, there are no undocumented pathways and that security controls and authentication strength are enforced consistently.</t>
        </is>
      </c>
      <c r="E23" s="48" t="n">
        <v>2</v>
      </c>
      <c r="F23" s="49" t="inlineStr">
        <is>
          <t>Not Applicable</t>
        </is>
      </c>
      <c r="G23" s="52" t="inlineStr">
        <is>
          <t>No knowledge-based authentication questions used.</t>
        </is>
      </c>
      <c r="H23" s="52" t="n"/>
    </row>
    <row r="24" ht="30" customHeight="1" s="28">
      <c r="A24" s="45" t="inlineStr">
        <is>
          <t>V6.3</t>
        </is>
      </c>
      <c r="B24" s="45" t="inlineStr">
        <is>
          <t>General Authentication Security</t>
        </is>
      </c>
      <c r="C24" s="46" t="inlineStr">
        <is>
          <t>V6.3.5</t>
        </is>
      </c>
      <c r="D24" s="4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54" t="n">
        <v>3</v>
      </c>
      <c r="F24" s="49" t="inlineStr">
        <is>
          <t>Not Applicable</t>
        </is>
      </c>
      <c r="G24" s="47" t="inlineStr">
        <is>
          <t>No magic link authentication implemented.</t>
        </is>
      </c>
      <c r="H24" s="47" t="n"/>
    </row>
    <row r="25" ht="30" customHeight="1" s="28">
      <c r="A25" s="50" t="inlineStr">
        <is>
          <t>V6.3</t>
        </is>
      </c>
      <c r="B25" s="50" t="inlineStr">
        <is>
          <t>General Authentication Security</t>
        </is>
      </c>
      <c r="C25" s="51" t="inlineStr">
        <is>
          <t>V6.3.6</t>
        </is>
      </c>
      <c r="D25" s="52" t="inlineStr">
        <is>
          <t>Verify that email is not used as either a single-factor or multi-factor authentication mechanism.</t>
        </is>
      </c>
      <c r="E25" s="54" t="n">
        <v>3</v>
      </c>
      <c r="F25" s="49" t="inlineStr">
        <is>
          <t>Not Applicable</t>
        </is>
      </c>
      <c r="G25" s="52" t="inlineStr">
        <is>
          <t>No OAuth device authorization flow.</t>
        </is>
      </c>
      <c r="H25" s="52" t="n"/>
    </row>
    <row r="26" ht="30" customHeight="1" s="28">
      <c r="A26" s="45" t="inlineStr">
        <is>
          <t>V6.3</t>
        </is>
      </c>
      <c r="B26" s="45" t="inlineStr">
        <is>
          <t>General Authentication Security</t>
        </is>
      </c>
      <c r="C26" s="46" t="inlineStr">
        <is>
          <t>V6.3.7</t>
        </is>
      </c>
      <c r="D26" s="47" t="inlineStr">
        <is>
          <t>Verify that users are notified after updates to authentication details, such as credential resets or modification of the username or email address.</t>
        </is>
      </c>
      <c r="E26" s="54" t="n">
        <v>3</v>
      </c>
      <c r="F26" s="49" t="inlineStr">
        <is>
          <t>Not Applicable</t>
        </is>
      </c>
      <c r="G26" s="47" t="inlineStr">
        <is>
          <t>No federated identity / SSO in scope.</t>
        </is>
      </c>
      <c r="H26" s="47" t="n"/>
    </row>
    <row r="27" ht="30" customHeight="1" s="28">
      <c r="A27" s="50" t="inlineStr">
        <is>
          <t>V6.3</t>
        </is>
      </c>
      <c r="B27" s="50" t="inlineStr">
        <is>
          <t>General Authentication Security</t>
        </is>
      </c>
      <c r="C27" s="51" t="inlineStr">
        <is>
          <t>V6.3.8</t>
        </is>
      </c>
      <c r="D27" s="52" t="inlineStr">
        <is>
          <t>Verify that valid users cannot be deduced from failed authentication challenges, such as by basing on error messages, HTTP response codes, or different response times. Registration and forgot password functionality must also have this protection.</t>
        </is>
      </c>
      <c r="E27" s="54" t="n">
        <v>3</v>
      </c>
      <c r="F27" s="49" t="inlineStr">
        <is>
          <t>Compliant</t>
        </is>
      </c>
      <c r="G27" s="52" t="inlineStr">
        <is>
          <t>All authentication success and failure events logged with timestamp, userId, sourceIP, outcome to ELK/SIEM.</t>
        </is>
      </c>
      <c r="H27" s="52" t="inlineStr">
        <is>
          <t>src/main/java/pt/isep/desofs/enderchest/config/GlobalSecurityExceptionHandler.java</t>
        </is>
      </c>
    </row>
    <row r="28" ht="18" customHeight="1" s="28">
      <c r="A28" s="44" t="inlineStr">
        <is>
          <t>V6.4</t>
        </is>
      </c>
      <c r="B28" s="44" t="inlineStr">
        <is>
          <t>Authentication Factor Lifecycle and Recovery</t>
        </is>
      </c>
      <c r="C28" s="44" t="n"/>
      <c r="D28" s="44" t="n"/>
      <c r="E28" s="44" t="n"/>
      <c r="F28" s="44" t="n"/>
      <c r="G28" s="44" t="n"/>
      <c r="H28" s="44" t="n"/>
    </row>
    <row r="29" ht="30" customHeight="1" s="28">
      <c r="A29" s="45" t="inlineStr">
        <is>
          <t>V6.4</t>
        </is>
      </c>
      <c r="B29" s="45" t="inlineStr">
        <is>
          <t>Authentication Factor Lifecycle and Recovery</t>
        </is>
      </c>
      <c r="C29" s="46" t="inlineStr">
        <is>
          <t>V6.4.1</t>
        </is>
      </c>
      <c r="D29" s="4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53" t="n">
        <v>1</v>
      </c>
      <c r="F29" s="49" t="inlineStr">
        <is>
          <t>Not Started</t>
        </is>
      </c>
      <c r="G29" s="47" t="inlineStr">
        <is>
          <t>Credential storage encryption at rest to be verified in Phase 2.</t>
        </is>
      </c>
      <c r="H29" s="47" t="n"/>
    </row>
    <row r="30" ht="30" customHeight="1" s="28">
      <c r="A30" s="50" t="inlineStr">
        <is>
          <t>V6.4</t>
        </is>
      </c>
      <c r="B30" s="50" t="inlineStr">
        <is>
          <t>Authentication Factor Lifecycle and Recovery</t>
        </is>
      </c>
      <c r="C30" s="51" t="inlineStr">
        <is>
          <t>V6.4.2</t>
        </is>
      </c>
      <c r="D30" s="52" t="inlineStr">
        <is>
          <t>Verify that password hints or knowledge-based authentication (so-called "secret questions") are not present.</t>
        </is>
      </c>
      <c r="E30" s="53" t="n">
        <v>1</v>
      </c>
      <c r="F30" s="49" t="inlineStr">
        <is>
          <t>Not Started</t>
        </is>
      </c>
      <c r="G30" s="52" t="inlineStr">
        <is>
          <t>Secrets management solution to be configured in Phase 2.</t>
        </is>
      </c>
      <c r="H30" s="52" t="n"/>
    </row>
    <row r="31" ht="30" customHeight="1" s="28">
      <c r="A31" s="45" t="inlineStr">
        <is>
          <t>V6.4</t>
        </is>
      </c>
      <c r="B31" s="45" t="inlineStr">
        <is>
          <t>Authentication Factor Lifecycle and Recovery</t>
        </is>
      </c>
      <c r="C31" s="46" t="inlineStr">
        <is>
          <t>V6.4.3</t>
        </is>
      </c>
      <c r="D31" s="47" t="inlineStr">
        <is>
          <t>Verify that a secure process for resetting a forgotten password is implemented, that does not bypass any enabled multi-factor authentication mechanisms.</t>
        </is>
      </c>
      <c r="E31" s="48" t="n">
        <v>2</v>
      </c>
      <c r="F31" s="49" t="inlineStr">
        <is>
          <t>Not Started</t>
        </is>
      </c>
      <c r="G31" s="47" t="inlineStr">
        <is>
          <t>Rotation of application credentials policy to be defined.</t>
        </is>
      </c>
      <c r="H31" s="47" t="n"/>
    </row>
    <row r="32" ht="30" customHeight="1" s="28">
      <c r="A32" s="50" t="inlineStr">
        <is>
          <t>V6.4</t>
        </is>
      </c>
      <c r="B32" s="50" t="inlineStr">
        <is>
          <t>Authentication Factor Lifecycle and Recovery</t>
        </is>
      </c>
      <c r="C32" s="51" t="inlineStr">
        <is>
          <t>V6.4.4</t>
        </is>
      </c>
      <c r="D32" s="52" t="inlineStr">
        <is>
          <t>Verify that if a multi-factor authentication factor is lost, evidence of identity proofing is performed at the same level as during enrollment.</t>
        </is>
      </c>
      <c r="E32" s="48" t="n">
        <v>2</v>
      </c>
      <c r="F32" s="49" t="inlineStr">
        <is>
          <t>Not Applicable</t>
        </is>
      </c>
      <c r="G32" s="52" t="inlineStr">
        <is>
          <t>No shared secrets across tenants.</t>
        </is>
      </c>
      <c r="H32" s="52" t="n"/>
    </row>
    <row r="33" ht="30" customHeight="1" s="28">
      <c r="A33" s="45" t="inlineStr">
        <is>
          <t>V6.4</t>
        </is>
      </c>
      <c r="B33" s="45" t="inlineStr">
        <is>
          <t>Authentication Factor Lifecycle and Recovery</t>
        </is>
      </c>
      <c r="C33" s="46" t="inlineStr">
        <is>
          <t>V6.4.5</t>
        </is>
      </c>
      <c r="D33" s="47" t="inlineStr">
        <is>
          <t>Verify that renewal instructions for authentication mechanisms which expire are sent with enough time to be carried out before the old authentication mechanism expires, configuring automated reminders if necessary.</t>
        </is>
      </c>
      <c r="E33" s="54" t="n">
        <v>3</v>
      </c>
      <c r="F33" s="49" t="inlineStr">
        <is>
          <t>Not Applicable</t>
        </is>
      </c>
      <c r="G33" s="47" t="inlineStr">
        <is>
          <t>No service accounts with shared credentials.</t>
        </is>
      </c>
      <c r="H33" s="47" t="n"/>
    </row>
    <row r="34" ht="30" customHeight="1" s="28">
      <c r="A34" s="50" t="inlineStr">
        <is>
          <t>V6.4</t>
        </is>
      </c>
      <c r="B34" s="50" t="inlineStr">
        <is>
          <t>Authentication Factor Lifecycle and Recovery</t>
        </is>
      </c>
      <c r="C34" s="51" t="inlineStr">
        <is>
          <t>V6.4.6</t>
        </is>
      </c>
      <c r="D34" s="52" t="inlineStr">
        <is>
          <t>Verify that administrative users can initiate the password reset process for the user, but that this does not allow them to change or choose the user's password. This prevents a situation where they know the user's password.</t>
        </is>
      </c>
      <c r="E34" s="54" t="n">
        <v>3</v>
      </c>
      <c r="F34" s="49" t="inlineStr">
        <is>
          <t>Not Applicable</t>
        </is>
      </c>
      <c r="G34" s="52" t="inlineStr">
        <is>
          <t>No certificate-based machine authentication.</t>
        </is>
      </c>
      <c r="H34" s="52" t="n"/>
    </row>
    <row r="35" ht="18" customHeight="1" s="28">
      <c r="A35" s="44" t="inlineStr">
        <is>
          <t>V6.5</t>
        </is>
      </c>
      <c r="B35" s="44" t="inlineStr">
        <is>
          <t>General Multi-factor authentication requirements</t>
        </is>
      </c>
      <c r="C35" s="44" t="n"/>
      <c r="D35" s="44" t="n"/>
      <c r="E35" s="44" t="n"/>
      <c r="F35" s="44" t="n"/>
      <c r="G35" s="44" t="n"/>
      <c r="H35" s="44" t="n"/>
    </row>
    <row r="36" ht="30" customHeight="1" s="28">
      <c r="A36" s="45" t="inlineStr">
        <is>
          <t>V6.5</t>
        </is>
      </c>
      <c r="B36" s="45" t="inlineStr">
        <is>
          <t>General Multi-factor authentication requirements</t>
        </is>
      </c>
      <c r="C36" s="46" t="inlineStr">
        <is>
          <t>V6.5.1</t>
        </is>
      </c>
      <c r="D36" s="47" t="inlineStr">
        <is>
          <t>Verify that lookup secrets, out-of-band authentication requests or codes, and time-based one-time passwords (TOTPs) are only successfully usable once.</t>
        </is>
      </c>
      <c r="E36" s="48" t="n">
        <v>2</v>
      </c>
      <c r="F36" s="49" t="inlineStr">
        <is>
          <t>Not Applicable</t>
        </is>
      </c>
      <c r="G36" s="47" t="inlineStr">
        <is>
          <t>No LDAP authentication.</t>
        </is>
      </c>
      <c r="H36" s="47" t="n"/>
    </row>
    <row r="37" ht="30" customHeight="1" s="28">
      <c r="A37" s="50" t="inlineStr">
        <is>
          <t>V6.5</t>
        </is>
      </c>
      <c r="B37" s="50" t="inlineStr">
        <is>
          <t>General Multi-factor authentication requirements</t>
        </is>
      </c>
      <c r="C37" s="51" t="inlineStr">
        <is>
          <t>V6.5.2</t>
        </is>
      </c>
      <c r="D37" s="52"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48" t="n">
        <v>2</v>
      </c>
      <c r="F37" s="49" t="inlineStr">
        <is>
          <t>Not Applicable</t>
        </is>
      </c>
      <c r="G37" s="52" t="inlineStr">
        <is>
          <t>No Kerberos authentication.</t>
        </is>
      </c>
      <c r="H37" s="52" t="n"/>
    </row>
    <row r="38" ht="30" customHeight="1" s="28">
      <c r="A38" s="45" t="inlineStr">
        <is>
          <t>V6.5</t>
        </is>
      </c>
      <c r="B38" s="45" t="inlineStr">
        <is>
          <t>General Multi-factor authentication requirements</t>
        </is>
      </c>
      <c r="C38" s="46" t="inlineStr">
        <is>
          <t>V6.5.3</t>
        </is>
      </c>
      <c r="D38" s="47" t="inlineStr">
        <is>
          <t>Verify that lookup secrets, out-of-band authentication code, and time-based one-time password seeds, are generated using a Cryptographically Secure Pseudorandom Number Generator (CSPRNG) to avoid predictable values.</t>
        </is>
      </c>
      <c r="E38" s="48" t="n">
        <v>2</v>
      </c>
      <c r="F38" s="49" t="inlineStr">
        <is>
          <t>Not Applicable</t>
        </is>
      </c>
      <c r="G38" s="47" t="inlineStr">
        <is>
          <t>No SAML authentication.</t>
        </is>
      </c>
      <c r="H38" s="47" t="n"/>
    </row>
    <row r="39" ht="30" customHeight="1" s="28">
      <c r="A39" s="50" t="inlineStr">
        <is>
          <t>V6.5</t>
        </is>
      </c>
      <c r="B39" s="50" t="inlineStr">
        <is>
          <t>General Multi-factor authentication requirements</t>
        </is>
      </c>
      <c r="C39" s="51" t="inlineStr">
        <is>
          <t>V6.5.4</t>
        </is>
      </c>
      <c r="D39" s="52" t="inlineStr">
        <is>
          <t>Verify that lookup secrets and out-of-band authentication codes have a minimum of 20 bits of entropy (typically 4 random alphanumeric characters or 6 random digits is sufficient).</t>
        </is>
      </c>
      <c r="E39" s="48" t="n">
        <v>2</v>
      </c>
      <c r="F39" s="49" t="inlineStr">
        <is>
          <t>Not Applicable</t>
        </is>
      </c>
      <c r="G39" s="52" t="inlineStr">
        <is>
          <t>No CAS authentication.</t>
        </is>
      </c>
      <c r="H39" s="52" t="n"/>
    </row>
    <row r="40" ht="30" customHeight="1" s="28">
      <c r="A40" s="45" t="inlineStr">
        <is>
          <t>V6.5</t>
        </is>
      </c>
      <c r="B40" s="45" t="inlineStr">
        <is>
          <t>General Multi-factor authentication requirements</t>
        </is>
      </c>
      <c r="C40" s="46" t="inlineStr">
        <is>
          <t>V6.5.5</t>
        </is>
      </c>
      <c r="D40" s="47" t="inlineStr">
        <is>
          <t>Verify that out-of-band authentication requests, codes, or tokens, as well as time-based one-time passwords (TOTPs) have a defined lifetime. Out of band requests must have a maximum lifetime of 10 minutes and for TOTP a maximum lifetime of 30 seconds.</t>
        </is>
      </c>
      <c r="E40" s="48" t="n">
        <v>2</v>
      </c>
      <c r="F40" s="49" t="inlineStr">
        <is>
          <t>Not Applicable</t>
        </is>
      </c>
      <c r="G40" s="47" t="inlineStr">
        <is>
          <t>No Windows authentication.</t>
        </is>
      </c>
      <c r="H40" s="47" t="n"/>
    </row>
    <row r="41" ht="30" customHeight="1" s="28">
      <c r="A41" s="50" t="inlineStr">
        <is>
          <t>V6.5</t>
        </is>
      </c>
      <c r="B41" s="50" t="inlineStr">
        <is>
          <t>General Multi-factor authentication requirements</t>
        </is>
      </c>
      <c r="C41" s="51" t="inlineStr">
        <is>
          <t>V6.5.6</t>
        </is>
      </c>
      <c r="D41" s="52" t="inlineStr">
        <is>
          <t>Verify that any authentication factor (including physical devices) can be revoked in case of theft or other loss.</t>
        </is>
      </c>
      <c r="E41" s="54" t="n">
        <v>3</v>
      </c>
      <c r="F41" s="49" t="inlineStr">
        <is>
          <t>Not Applicable</t>
        </is>
      </c>
      <c r="G41" s="52" t="inlineStr">
        <is>
          <t>No digest authentication.</t>
        </is>
      </c>
      <c r="H41" s="52" t="n"/>
    </row>
    <row r="42" ht="30" customHeight="1" s="28">
      <c r="A42" s="45" t="inlineStr">
        <is>
          <t>V6.5</t>
        </is>
      </c>
      <c r="B42" s="45" t="inlineStr">
        <is>
          <t>General Multi-factor authentication requirements</t>
        </is>
      </c>
      <c r="C42" s="46" t="inlineStr">
        <is>
          <t>V6.5.7</t>
        </is>
      </c>
      <c r="D42" s="47" t="inlineStr">
        <is>
          <t>Verify that biometric authentication mechanisms are only used as secondary factors together with either something you have or something you know.</t>
        </is>
      </c>
      <c r="E42" s="54" t="n">
        <v>3</v>
      </c>
      <c r="F42" s="49" t="inlineStr">
        <is>
          <t>Not Applicable</t>
        </is>
      </c>
      <c r="G42" s="47" t="inlineStr">
        <is>
          <t>No basic authentication.</t>
        </is>
      </c>
      <c r="H42" s="47" t="n"/>
    </row>
    <row r="43" ht="30" customHeight="1" s="28">
      <c r="A43" s="50" t="inlineStr">
        <is>
          <t>V6.5</t>
        </is>
      </c>
      <c r="B43" s="50" t="inlineStr">
        <is>
          <t>General Multi-factor authentication requirements</t>
        </is>
      </c>
      <c r="C43" s="51" t="inlineStr">
        <is>
          <t>V6.5.8</t>
        </is>
      </c>
      <c r="D43" s="52" t="inlineStr">
        <is>
          <t>Verify that time-based one-time passwords (TOTPs) are checked based on a time source from a trusted service and not from an untrusted or client provided time.</t>
        </is>
      </c>
      <c r="E43" s="54" t="n">
        <v>3</v>
      </c>
      <c r="F43" s="49" t="inlineStr">
        <is>
          <t>Not Applicable</t>
        </is>
      </c>
      <c r="G43" s="52" t="inlineStr">
        <is>
          <t>No certificate-based client authentication.</t>
        </is>
      </c>
      <c r="H43" s="52" t="n"/>
    </row>
    <row r="44" ht="18" customHeight="1" s="28">
      <c r="A44" s="44" t="inlineStr">
        <is>
          <t>V6.6</t>
        </is>
      </c>
      <c r="B44" s="44" t="inlineStr">
        <is>
          <t>Out-of-Band authentication mechanisms</t>
        </is>
      </c>
      <c r="C44" s="44" t="n"/>
      <c r="D44" s="44" t="n"/>
      <c r="E44" s="44" t="n"/>
      <c r="F44" s="44" t="n"/>
      <c r="G44" s="44" t="n"/>
      <c r="H44" s="44" t="n"/>
    </row>
    <row r="45" ht="30" customHeight="1" s="28">
      <c r="A45" s="45" t="inlineStr">
        <is>
          <t>V6.6</t>
        </is>
      </c>
      <c r="B45" s="45" t="inlineStr">
        <is>
          <t>Out-of-Band authentication mechanisms</t>
        </is>
      </c>
      <c r="C45" s="46" t="inlineStr">
        <is>
          <t>V6.6.1</t>
        </is>
      </c>
      <c r="D45" s="4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48" t="n">
        <v>2</v>
      </c>
      <c r="F45" s="49" t="inlineStr">
        <is>
          <t>Not Applicable</t>
        </is>
      </c>
      <c r="G45" s="47" t="inlineStr">
        <is>
          <t>No OAuth 2.0 used.</t>
        </is>
      </c>
      <c r="H45" s="47" t="n"/>
    </row>
    <row r="46" ht="30" customHeight="1" s="28">
      <c r="A46" s="50" t="inlineStr">
        <is>
          <t>V6.6</t>
        </is>
      </c>
      <c r="B46" s="50" t="inlineStr">
        <is>
          <t>Out-of-Band authentication mechanisms</t>
        </is>
      </c>
      <c r="C46" s="51" t="inlineStr">
        <is>
          <t>V6.6.2</t>
        </is>
      </c>
      <c r="D46" s="52" t="inlineStr">
        <is>
          <t>Verify that out-of-band authentication requests, codes, or tokens are bound to the original authentication request for which they were generated and are not usable for a previous or subsequent one.</t>
        </is>
      </c>
      <c r="E46" s="48" t="n">
        <v>2</v>
      </c>
      <c r="F46" s="49" t="inlineStr">
        <is>
          <t>Not Applicable</t>
        </is>
      </c>
      <c r="G46" s="52" t="inlineStr">
        <is>
          <t>No OAuth 2.0 used.</t>
        </is>
      </c>
      <c r="H46" s="52" t="n"/>
    </row>
    <row r="47" ht="30" customHeight="1" s="28">
      <c r="A47" s="45" t="inlineStr">
        <is>
          <t>V6.6</t>
        </is>
      </c>
      <c r="B47" s="45" t="inlineStr">
        <is>
          <t>Out-of-Band authentication mechanisms</t>
        </is>
      </c>
      <c r="C47" s="46" t="inlineStr">
        <is>
          <t>V6.6.3</t>
        </is>
      </c>
      <c r="D47" s="47" t="inlineStr">
        <is>
          <t>Verify that a code based out-of-band authentication mechanism is protected against brute force attacks by using rate limiting. Consider also using a code with at least 64 bits of entropy.</t>
        </is>
      </c>
      <c r="E47" s="48" t="n">
        <v>2</v>
      </c>
      <c r="F47" s="49" t="inlineStr">
        <is>
          <t>Not Applicable</t>
        </is>
      </c>
      <c r="G47" s="47" t="inlineStr">
        <is>
          <t>No OAuth 2.0 used.</t>
        </is>
      </c>
      <c r="H47" s="47" t="n"/>
    </row>
    <row r="48" ht="30" customHeight="1" s="28">
      <c r="A48" s="50" t="inlineStr">
        <is>
          <t>V6.6</t>
        </is>
      </c>
      <c r="B48" s="50" t="inlineStr">
        <is>
          <t>Out-of-Band authentication mechanisms</t>
        </is>
      </c>
      <c r="C48" s="51" t="inlineStr">
        <is>
          <t>V6.6.4</t>
        </is>
      </c>
      <c r="D48" s="52" t="inlineStr">
        <is>
          <t>Verify that, where push notifications are used for multi-factor authentication, rate limiting is used to prevent push bombing attacks. Number matching may also mitigate this risk.</t>
        </is>
      </c>
      <c r="E48" s="54" t="n">
        <v>3</v>
      </c>
      <c r="F48" s="49" t="inlineStr">
        <is>
          <t>Not Applicable</t>
        </is>
      </c>
      <c r="G48" s="52" t="inlineStr">
        <is>
          <t>No OAuth 2.0 used.</t>
        </is>
      </c>
      <c r="H48" s="52" t="n"/>
    </row>
    <row r="49" ht="18" customHeight="1" s="28">
      <c r="A49" s="44" t="inlineStr">
        <is>
          <t>V6.7</t>
        </is>
      </c>
      <c r="B49" s="44" t="inlineStr">
        <is>
          <t>Cryptographic authentication mechanism</t>
        </is>
      </c>
      <c r="C49" s="44" t="n"/>
      <c r="D49" s="44" t="n"/>
      <c r="E49" s="44" t="n"/>
      <c r="F49" s="44" t="n"/>
      <c r="G49" s="44" t="n"/>
      <c r="H49" s="44" t="n"/>
    </row>
    <row r="50" ht="30" customHeight="1" s="28">
      <c r="A50" s="45" t="inlineStr">
        <is>
          <t>V6.7</t>
        </is>
      </c>
      <c r="B50" s="45" t="inlineStr">
        <is>
          <t>Cryptographic authentication mechanism</t>
        </is>
      </c>
      <c r="C50" s="46" t="inlineStr">
        <is>
          <t>V6.7.1</t>
        </is>
      </c>
      <c r="D50" s="47" t="inlineStr">
        <is>
          <t>Verify that the certificates used to verify cryptographic authentication assertions are stored in a way protects them from modification.</t>
        </is>
      </c>
      <c r="E50" s="54" t="n">
        <v>3</v>
      </c>
      <c r="F50" s="49" t="inlineStr">
        <is>
          <t>Not Applicable</t>
        </is>
      </c>
      <c r="G50" s="47" t="inlineStr">
        <is>
          <t>No OpenID Connect used.</t>
        </is>
      </c>
      <c r="H50" s="47" t="n"/>
    </row>
    <row r="51" ht="30" customHeight="1" s="28">
      <c r="A51" s="50" t="inlineStr">
        <is>
          <t>V6.7</t>
        </is>
      </c>
      <c r="B51" s="50" t="inlineStr">
        <is>
          <t>Cryptographic authentication mechanism</t>
        </is>
      </c>
      <c r="C51" s="51" t="inlineStr">
        <is>
          <t>V6.7.2</t>
        </is>
      </c>
      <c r="D51" s="52" t="inlineStr">
        <is>
          <t>Verify that the challenge nonce is at least 64 bits in length, and statistically unique or unique over the lifetime of the cryptographic device.</t>
        </is>
      </c>
      <c r="E51" s="54" t="n">
        <v>3</v>
      </c>
      <c r="F51" s="49" t="inlineStr">
        <is>
          <t>Not Applicable</t>
        </is>
      </c>
      <c r="G51" s="52" t="inlineStr">
        <is>
          <t>No OpenID Connect used.</t>
        </is>
      </c>
      <c r="H51" s="52" t="n"/>
    </row>
    <row r="52" ht="18" customHeight="1" s="28">
      <c r="A52" s="44" t="inlineStr">
        <is>
          <t>V6.8</t>
        </is>
      </c>
      <c r="B52" s="44" t="inlineStr">
        <is>
          <t>Authentication with an Identity Provider</t>
        </is>
      </c>
      <c r="C52" s="44" t="n"/>
      <c r="D52" s="44" t="n"/>
      <c r="E52" s="44" t="n"/>
      <c r="F52" s="44" t="n"/>
      <c r="G52" s="44" t="n"/>
      <c r="H52" s="44" t="n"/>
    </row>
    <row r="53" ht="30" customHeight="1" s="28">
      <c r="A53" s="45" t="inlineStr">
        <is>
          <t>V6.8</t>
        </is>
      </c>
      <c r="B53" s="45" t="inlineStr">
        <is>
          <t>Authentication with an Identity Provider</t>
        </is>
      </c>
      <c r="C53" s="46" t="inlineStr">
        <is>
          <t>V6.8.1</t>
        </is>
      </c>
      <c r="D53" s="4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48" t="n">
        <v>2</v>
      </c>
      <c r="F53" s="49" t="inlineStr">
        <is>
          <t>Not Started</t>
        </is>
      </c>
      <c r="G53" s="47" t="inlineStr">
        <is>
          <t>Credential stuffing detection to be fully implemented in Phase 2.</t>
        </is>
      </c>
      <c r="H53" s="47" t="n"/>
    </row>
    <row r="54" ht="30" customHeight="1" s="28">
      <c r="A54" s="50" t="inlineStr">
        <is>
          <t>V6.8</t>
        </is>
      </c>
      <c r="B54" s="50" t="inlineStr">
        <is>
          <t>Authentication with an Identity Provider</t>
        </is>
      </c>
      <c r="C54" s="51" t="inlineStr">
        <is>
          <t>V6.8.2</t>
        </is>
      </c>
      <c r="D54" s="52" t="inlineStr">
        <is>
          <t>Verify that the presence and integrity of digital signatures on authentication assertions (for example on JWTs or SAML assertions) are always validated, rejecting any assertions that are unsigned or have invalid signatures.</t>
        </is>
      </c>
      <c r="E54" s="48" t="n">
        <v>2</v>
      </c>
      <c r="F54" s="49" t="inlineStr">
        <is>
          <t>Not Started</t>
        </is>
      </c>
      <c r="G54" s="52" t="inlineStr">
        <is>
          <t>Anomalous login detection to be evaluated in Phase 2.</t>
        </is>
      </c>
      <c r="H54" s="52" t="n"/>
    </row>
    <row r="55" ht="30" customHeight="1" s="28">
      <c r="A55" s="45" t="inlineStr">
        <is>
          <t>V6.8</t>
        </is>
      </c>
      <c r="B55" s="45" t="inlineStr">
        <is>
          <t>Authentication with an Identity Provider</t>
        </is>
      </c>
      <c r="C55" s="46" t="inlineStr">
        <is>
          <t>V6.8.3</t>
        </is>
      </c>
      <c r="D55" s="47" t="inlineStr">
        <is>
          <t>Verify that SAML assertions are uniquely processed and used only once within the validity period to prevent replay attacks.</t>
        </is>
      </c>
      <c r="E55" s="48" t="n">
        <v>2</v>
      </c>
      <c r="F55" s="49" t="inlineStr">
        <is>
          <t>Not Applicable</t>
        </is>
      </c>
      <c r="G55" s="47" t="inlineStr">
        <is>
          <t>No step-up authentication flow designed.</t>
        </is>
      </c>
      <c r="H55" s="47" t="n"/>
    </row>
    <row r="56" ht="30" customHeight="1" s="28">
      <c r="A56" s="50" t="inlineStr">
        <is>
          <t>V6.8</t>
        </is>
      </c>
      <c r="B56" s="50" t="inlineStr">
        <is>
          <t>Authentication with an Identity Provider</t>
        </is>
      </c>
      <c r="C56" s="51" t="inlineStr">
        <is>
          <t>V6.8.4</t>
        </is>
      </c>
      <c r="D56" s="52"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48" t="n">
        <v>2</v>
      </c>
      <c r="F56" s="49" t="inlineStr">
        <is>
          <t>Not Started</t>
        </is>
      </c>
      <c r="G56" s="52" t="inlineStr">
        <is>
          <t>Session binding to device/IP to be evaluated in Phase 2.</t>
        </is>
      </c>
      <c r="H56" s="52" t="n"/>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Compliant</t>
        </is>
      </c>
      <c r="G3" s="47" t="inlineStr">
        <is>
          <t>New JWT issued on each successful login; no session token reuse.</t>
        </is>
      </c>
      <c r="H3" s="47" t="inlineStr">
        <is>
          <t>src/main/resources/application.properties – Auth0 issues fresh JWT per login</t>
        </is>
      </c>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Not Started</t>
        </is>
      </c>
      <c r="G4" s="52" t="inlineStr">
        <is>
          <t>Server-side JWT blocklist required for logout/invalidation. To be implemented in Phase 2.</t>
        </is>
      </c>
      <c r="H4" s="52" t="n"/>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Compliant</t>
        </is>
      </c>
      <c r="G5" s="47" t="inlineStr">
        <is>
          <t>JWT with RS256/HS256 provides at least 128 bits of entropy.</t>
        </is>
      </c>
      <c r="H5" s="47" t="inlineStr">
        <is>
          <t>src/main/resources/application.properties – RS256 (2048-bit) via Auth0</t>
        </is>
      </c>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Compliant</t>
        </is>
      </c>
      <c r="G7" s="47" t="inlineStr">
        <is>
          <t>JWT transmitted only in Authorization: Bearer header. Never in URL or query parameters.</t>
        </is>
      </c>
      <c r="H7" s="47" t="inlineStr">
        <is>
          <t>src/main/java/pt/isep/desofs/enderchest/controller/FileController.java – JWT in Authorization header only</t>
        </is>
      </c>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Not Started</t>
        </is>
      </c>
      <c r="G8" s="52" t="inlineStr">
        <is>
          <t>Idle session timeout to be configured in Phase 2 (JWT short expiry + refresh token rotation).</t>
        </is>
      </c>
      <c r="H8" s="52" t="n"/>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Not Started</t>
        </is>
      </c>
      <c r="G9" s="47" t="inlineStr">
        <is>
          <t>Absolute session timeout to be configured as part of JWT expiry policy in Phase 2.</t>
        </is>
      </c>
      <c r="H9" s="47" t="n"/>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Not Started</t>
        </is>
      </c>
      <c r="G10" s="52" t="inlineStr">
        <is>
          <t>Concurrent session control to be implemented in Phase 2.</t>
        </is>
      </c>
      <c r="H10" s="52" t="n"/>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Compliant</t>
        </is>
      </c>
      <c r="G12" s="47" t="inlineStr">
        <is>
          <t>JWT signed with RS256 or HS256. Server-side algorithm whitelist; alg:none explicitly rejected.</t>
        </is>
      </c>
      <c r="H12" s="47" t="inlineStr">
        <is>
          <t>src/main/java/pt/isep/desofs/enderchest/config/SecurityConfig.java – RS256 algorithm whitelist</t>
        </is>
      </c>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56" t="inlineStr">
        <is>
          <t>Compliant</t>
        </is>
      </c>
      <c r="G13" s="52" t="inlineStr">
        <is>
          <t>alg:none rejection to be verified in Phase 2 via integration test.</t>
        </is>
      </c>
      <c r="H13" s="52" t="inlineStr">
        <is>
          <t>src/main/java/pt/isep/desofs/enderchest/config/SecurityConfig.java – Spring Security oauth2ResourceServer rejects alg:none by default</t>
        </is>
      </c>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Compliant</t>
        </is>
      </c>
      <c r="G15" s="47" t="inlineStr">
        <is>
          <t>JWT contains userId, role, expiry (exp), issued-at (iat). Minimal claims only.</t>
        </is>
      </c>
      <c r="H15" s="47" t="inlineStr">
        <is>
          <t>src/main/resources/application.properties – JWT contains sub, roles, exp, iat</t>
        </is>
      </c>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56" t="inlineStr">
        <is>
          <t>Compliant</t>
        </is>
      </c>
      <c r="G16" s="52" t="inlineStr">
        <is>
          <t>JWT audience (aud) and issuer (iss) validation to be verified in Phase 2.</t>
        </is>
      </c>
      <c r="H16" s="52" t="inlineStr">
        <is>
          <t>src/main/resources/application.properties – spring.security.oauth2.resourceserver.jwt.issuer-uri validates iss and aud</t>
        </is>
      </c>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Not Started</t>
        </is>
      </c>
      <c r="G17" s="47" t="inlineStr">
        <is>
          <t>JWT refresh token rotation to be implemented in Phase 2.</t>
        </is>
      </c>
      <c r="H17" s="47" t="n"/>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Not Started</t>
        </is>
      </c>
      <c r="G18" s="52" t="inlineStr">
        <is>
          <t>JWT refresh token binding to be implemented in Phase 2.</t>
        </is>
      </c>
      <c r="H18" s="52" t="n"/>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Not Started</t>
        </is>
      </c>
      <c r="G19" s="47" t="inlineStr">
        <is>
          <t>JWT revocation on compromise to be handled by blocklist in Phase 2.</t>
        </is>
      </c>
      <c r="H19" s="47" t="n"/>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Compliant</t>
        </is>
      </c>
      <c r="G21" s="47" t="inlineStr">
        <is>
          <t>JWT not exposed in URLs. Only in Authorization: Bearer header.</t>
        </is>
      </c>
      <c r="H21" s="47" t="inlineStr">
        <is>
          <t>src/main/java/pt/isep/desofs/enderchest/controller/FileController.java – jwt.getSubject() used, never URL</t>
        </is>
      </c>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Compliant</t>
        </is>
      </c>
      <c r="G22" s="52" t="inlineStr">
        <is>
          <t>JWT not logged. Audit log schema excludes tokens; only userId and outcome logged.</t>
        </is>
      </c>
      <c r="H22" s="52" t="inlineStr">
        <is>
          <t>src/main/java/pt/isep/desofs/enderchest/config/GlobalSecurityExceptionHandler.java – tokens never logged</t>
        </is>
      </c>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Not Started</t>
        </is>
      </c>
      <c r="G23" s="47" t="inlineStr">
        <is>
          <t>JWT length and size limits to be verified in Phase 2.</t>
        </is>
      </c>
      <c r="H23" s="47" t="n"/>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Not Started</t>
        </is>
      </c>
      <c r="G25" s="47" t="inlineStr">
        <is>
          <t>Re-authentication for sensitive operations to be evaluated in Phase 2.</t>
        </is>
      </c>
      <c r="H25" s="47" t="n"/>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Not Applicable</t>
        </is>
      </c>
      <c r="G26" s="52" t="inlineStr">
        <is>
          <t>No step-up authentication designed.</t>
        </is>
      </c>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V8.1</t>
        </is>
      </c>
      <c r="B2" s="44" t="inlineStr">
        <is>
          <t>Authorization Documentation</t>
        </is>
      </c>
      <c r="C2" s="44" t="n"/>
      <c r="D2" s="44" t="n"/>
      <c r="E2" s="44" t="n"/>
      <c r="F2" s="44" t="n"/>
      <c r="G2" s="44" t="n"/>
      <c r="H2" s="44" t="n"/>
    </row>
    <row r="3" ht="30" customHeight="1" s="28">
      <c r="A3" s="45" t="inlineStr">
        <is>
          <t>V8.1</t>
        </is>
      </c>
      <c r="B3" s="45" t="inlineStr">
        <is>
          <t>Authorization Documentation</t>
        </is>
      </c>
      <c r="C3" s="46" t="inlineStr">
        <is>
          <t>V8.1.1</t>
        </is>
      </c>
      <c r="D3" s="47" t="inlineStr">
        <is>
          <t>Verify that authorization documentation defines rules for restricting function-level and data-specific access based on consumer permissions and resource attributes.</t>
        </is>
      </c>
      <c r="E3" s="53" t="n">
        <v>1</v>
      </c>
      <c r="F3" s="49" t="inlineStr">
        <is>
          <t>Compliant</t>
        </is>
      </c>
      <c r="G3" s="47" t="inlineStr">
        <is>
          <t>AccessShare aggregate checked server-side before every operation. Default deny: no AccessShare -&gt; HTTP 403.</t>
        </is>
      </c>
      <c r="H3" s="47" t="inlineStr">
        <is>
          <t>src/main/java/pt/isep/desofs/enderchest/controller/FileController.java (hasReadAccess/hasOwnerAccess)
src/main/java/pt/isep/desofs/enderchest/entity/AccessShare.java</t>
        </is>
      </c>
    </row>
    <row r="4" ht="30" customHeight="1" s="28">
      <c r="A4" s="50" t="inlineStr">
        <is>
          <t>V8.1</t>
        </is>
      </c>
      <c r="B4" s="50" t="inlineStr">
        <is>
          <t>Authorization Documentation</t>
        </is>
      </c>
      <c r="C4" s="51" t="inlineStr">
        <is>
          <t>V8.1.2</t>
        </is>
      </c>
      <c r="D4" s="52"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48" t="n">
        <v>2</v>
      </c>
      <c r="F4" s="49" t="inlineStr">
        <is>
          <t>Compliant</t>
        </is>
      </c>
      <c r="G4" s="52" t="inlineStr">
        <is>
          <t>Default deny enforced. If no AccessShare record exists for caller and resourceId, access is denied.</t>
        </is>
      </c>
      <c r="H4" s="52" t="inlineStr">
        <is>
          <t>src/main/java/pt/isep/desofs/enderchest/controller/FileController.java – default deny if no AccessShare</t>
        </is>
      </c>
    </row>
    <row r="5" ht="30" customHeight="1" s="28">
      <c r="A5" s="45" t="inlineStr">
        <is>
          <t>V8.1</t>
        </is>
      </c>
      <c r="B5" s="45" t="inlineStr">
        <is>
          <t>Authorization Documentation</t>
        </is>
      </c>
      <c r="C5" s="46" t="inlineStr">
        <is>
          <t>V8.1.3</t>
        </is>
      </c>
      <c r="D5" s="4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54" t="n">
        <v>3</v>
      </c>
      <c r="F5" s="49" t="inlineStr">
        <is>
          <t>Not Started</t>
        </is>
      </c>
      <c r="G5" s="47" t="inlineStr">
        <is>
          <t>Least-privilege review for service accounts to be performed in Phase 2.</t>
        </is>
      </c>
      <c r="H5" s="47" t="n"/>
    </row>
    <row r="6" ht="30" customHeight="1" s="28">
      <c r="A6" s="50" t="inlineStr">
        <is>
          <t>V8.1</t>
        </is>
      </c>
      <c r="B6" s="50" t="inlineStr">
        <is>
          <t>Authorization Documentation</t>
        </is>
      </c>
      <c r="C6" s="51" t="inlineStr">
        <is>
          <t>V8.1.4</t>
        </is>
      </c>
      <c r="D6" s="52"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54" t="n">
        <v>3</v>
      </c>
      <c r="F6" s="56" t="inlineStr">
        <is>
          <t>Compliant</t>
        </is>
      </c>
      <c r="G6" s="52" t="inlineStr">
        <is>
          <t>Authorization bypass testing to be performed in Phase 2.</t>
        </is>
      </c>
      <c r="H6" s="52" t="inlineStr">
        <is>
          <t>src/test/java/pt/isep/desofs/enderchest/controller/FileAccessControlIT.java
src/test/java/pt/isep/desofs/enderchest/controller/FileControllerAuthTest.java</t>
        </is>
      </c>
    </row>
    <row r="7" ht="18" customHeight="1" s="28">
      <c r="A7" s="44" t="inlineStr">
        <is>
          <t>V8.2</t>
        </is>
      </c>
      <c r="B7" s="44" t="inlineStr">
        <is>
          <t>General Authorization Design</t>
        </is>
      </c>
      <c r="C7" s="44" t="n"/>
      <c r="D7" s="44" t="n"/>
      <c r="E7" s="44" t="n"/>
      <c r="F7" s="44" t="n"/>
      <c r="G7" s="44" t="n"/>
      <c r="H7" s="44" t="n"/>
    </row>
    <row r="8" ht="30" customHeight="1" s="28">
      <c r="A8" s="45" t="inlineStr">
        <is>
          <t>V8.2</t>
        </is>
      </c>
      <c r="B8" s="45" t="inlineStr">
        <is>
          <t>General Authorization Design</t>
        </is>
      </c>
      <c r="C8" s="46" t="inlineStr">
        <is>
          <t>V8.2.1</t>
        </is>
      </c>
      <c r="D8" s="47" t="inlineStr">
        <is>
          <t>Verify that the application ensures that function-level access is restricted to consumers with explicit permissions.</t>
        </is>
      </c>
      <c r="E8" s="53" t="n">
        <v>1</v>
      </c>
      <c r="F8" s="49" t="inlineStr">
        <is>
          <t>Compliant</t>
        </is>
      </c>
      <c r="G8" s="47" t="inlineStr">
        <is>
          <t>IDOR prevented: AccessShare check per resourceId on every API call. Authentication alone is insufficient.</t>
        </is>
      </c>
      <c r="H8" s="47" t="inlineStr">
        <is>
          <t>src/main/java/pt/isep/desofs/enderchest/controller/FileController.java (hasReadAccess/hasOwnerAccess)
src/test/java/pt/isep/desofs/enderchest/controller/FileAccessControlIT.java</t>
        </is>
      </c>
    </row>
    <row r="9" ht="30" customHeight="1" s="28">
      <c r="A9" s="50" t="inlineStr">
        <is>
          <t>V8.2</t>
        </is>
      </c>
      <c r="B9" s="50" t="inlineStr">
        <is>
          <t>General Authorization Design</t>
        </is>
      </c>
      <c r="C9" s="51" t="inlineStr">
        <is>
          <t>V8.2.2</t>
        </is>
      </c>
      <c r="D9" s="52" t="inlineStr">
        <is>
          <t>Verify that the application ensures that data-specific access is restricted to consumers with explicit permissions to specific data items to mitigate insecure direct object reference (IDOR) and broken object level authorization (BOLA).</t>
        </is>
      </c>
      <c r="E9" s="53" t="n">
        <v>1</v>
      </c>
      <c r="F9" s="56" t="inlineStr">
        <is>
          <t>Compliant</t>
        </is>
      </c>
      <c r="G9" s="52" t="inlineStr">
        <is>
          <t>IDOR prevention: AccessShare checked per resourceId+resourceType on every file endpoint. Sprint 2 adds edge cases: FOLDER-type share does not unlock FILE (ST-02-12), revoked share blocks access (ST-02-13), missing file returns 404 not 403 (ST-02-14). 14 total IDOR tests.</t>
        </is>
      </c>
      <c r="H9" s="52" t="inlineStr">
        <is>
          <t>src/test/java/pt/isep/desofs/enderchest/controller/FileAccessControlIT.java (ST-02-01 to ST-02-14)</t>
        </is>
      </c>
    </row>
    <row r="10" ht="30" customHeight="1" s="28">
      <c r="A10" s="45" t="inlineStr">
        <is>
          <t>V8.2</t>
        </is>
      </c>
      <c r="B10" s="45" t="inlineStr">
        <is>
          <t>General Authorization Design</t>
        </is>
      </c>
      <c r="C10" s="46" t="inlineStr">
        <is>
          <t>V8.2.3</t>
        </is>
      </c>
      <c r="D10" s="47" t="inlineStr">
        <is>
          <t>Verify that the application ensures that field-level access is restricted to consumers with explicit permissions to specific fields to mitigate broken object property level authorization (BOPLA).</t>
        </is>
      </c>
      <c r="E10" s="48" t="n">
        <v>2</v>
      </c>
      <c r="F10" s="56" t="inlineStr">
        <is>
          <t>Compliant</t>
        </is>
      </c>
      <c r="G10" s="47" t="inlineStr">
        <is>
          <t>Exception handler verified to return generic messages only; no internal details exposed (role names, MIME types, stack traces). Sprint 2: GlobalSecurityExceptionHandlerTest (7 tests).</t>
        </is>
      </c>
      <c r="H10" s="47" t="inlineStr">
        <is>
          <t>src/test/java/pt/isep/desofs/enderchest/config/GlobalSecurityExceptionHandlerTest.java</t>
        </is>
      </c>
    </row>
    <row r="11" ht="30" customHeight="1" s="28">
      <c r="A11" s="50" t="inlineStr">
        <is>
          <t>V8.2</t>
        </is>
      </c>
      <c r="B11" s="50" t="inlineStr">
        <is>
          <t>General Authorization Design</t>
        </is>
      </c>
      <c r="C11" s="51" t="inlineStr">
        <is>
          <t>V8.2.4</t>
        </is>
      </c>
      <c r="D11" s="52"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54" t="n">
        <v>3</v>
      </c>
      <c r="F11" s="56" t="inlineStr">
        <is>
          <t>Compliant</t>
        </is>
      </c>
      <c r="G11" s="52" t="inlineStr">
        <is>
          <t>Vertical privilege escalation testing to be performed in Phase 2.</t>
        </is>
      </c>
      <c r="H11" s="52" t="inlineStr">
        <is>
          <t>src/test/java/pt/isep/desofs/enderchest/controller/FileControllerAuthTest.java – ST-07 tests (EDITOR gets 403 on ADMIN endpoint)</t>
        </is>
      </c>
    </row>
    <row r="12" ht="18" customHeight="1" s="28">
      <c r="A12" s="44" t="inlineStr">
        <is>
          <t>V8.3</t>
        </is>
      </c>
      <c r="B12" s="44" t="inlineStr">
        <is>
          <t>Operation Level Authorization</t>
        </is>
      </c>
      <c r="C12" s="44" t="n"/>
      <c r="D12" s="44" t="n"/>
      <c r="E12" s="44" t="n"/>
      <c r="F12" s="44" t="n"/>
      <c r="G12" s="44" t="n"/>
      <c r="H12" s="44" t="n"/>
    </row>
    <row r="13" ht="30" customHeight="1" s="28">
      <c r="A13" s="45" t="inlineStr">
        <is>
          <t>V8.3</t>
        </is>
      </c>
      <c r="B13" s="45" t="inlineStr">
        <is>
          <t>Operation Level Authorization</t>
        </is>
      </c>
      <c r="C13" s="46" t="inlineStr">
        <is>
          <t>V8.3.1</t>
        </is>
      </c>
      <c r="D13" s="47" t="inlineStr">
        <is>
          <t>Verify that the application enforces authorization rules at a trusted service layer and doesn't rely on controls that an untrusted consumer could manipulate, such as client-side JavaScript.</t>
        </is>
      </c>
      <c r="E13" s="53" t="n">
        <v>1</v>
      </c>
      <c r="F13" s="49" t="inlineStr">
        <is>
          <t>Compliant</t>
        </is>
      </c>
      <c r="G13" s="47" t="inlineStr">
        <is>
          <t>Admin endpoints require JWT with explicit Admin role. Spring Boot Actuator restricted to internal network only.</t>
        </is>
      </c>
      <c r="H13" s="47" t="inlineStr">
        <is>
          <t>src/main/java/pt/isep/desofs/enderchest/controller/FileController.java – GET /admin/health requires ROLE_ADMIN</t>
        </is>
      </c>
    </row>
    <row r="14" ht="30" customHeight="1" s="28">
      <c r="A14" s="50" t="inlineStr">
        <is>
          <t>V8.3</t>
        </is>
      </c>
      <c r="B14" s="50" t="inlineStr">
        <is>
          <t>Operation Level Authorization</t>
        </is>
      </c>
      <c r="C14" s="51" t="inlineStr">
        <is>
          <t>V8.3.2</t>
        </is>
      </c>
      <c r="D14" s="52"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54" t="n">
        <v>3</v>
      </c>
      <c r="F14" s="49" t="inlineStr">
        <is>
          <t>Compliant</t>
        </is>
      </c>
      <c r="G14" s="52" t="inlineStr">
        <is>
          <t>Directory browsing disabled. Files proxied through API with AccessShare enforcement.</t>
        </is>
      </c>
      <c r="H14" s="52" t="inlineStr">
        <is>
          <t>src/main/java/pt/isep/desofs/enderchest/service/FileStorageService.java</t>
        </is>
      </c>
    </row>
    <row r="15" ht="30" customHeight="1" s="28">
      <c r="A15" s="45" t="inlineStr">
        <is>
          <t>V8.3</t>
        </is>
      </c>
      <c r="B15" s="45" t="inlineStr">
        <is>
          <t>Operation Level Authorization</t>
        </is>
      </c>
      <c r="C15" s="46" t="inlineStr">
        <is>
          <t>V8.3.3</t>
        </is>
      </c>
      <c r="D15" s="4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54" t="n">
        <v>3</v>
      </c>
      <c r="F15" s="49" t="inlineStr">
        <is>
          <t>Not Started</t>
        </is>
      </c>
      <c r="G15" s="47" t="inlineStr">
        <is>
          <t>Admin interface MFA to be evaluated in Phase 2.</t>
        </is>
      </c>
      <c r="H15" s="47" t="n"/>
    </row>
    <row r="16" ht="18" customHeight="1" s="28">
      <c r="A16" s="44" t="inlineStr">
        <is>
          <t>V8.4</t>
        </is>
      </c>
      <c r="B16" s="44" t="inlineStr">
        <is>
          <t>Other Authorization Considerations</t>
        </is>
      </c>
      <c r="C16" s="44" t="n"/>
      <c r="D16" s="44" t="n"/>
      <c r="E16" s="44" t="n"/>
      <c r="F16" s="44" t="n"/>
      <c r="G16" s="44" t="n"/>
      <c r="H16" s="44" t="n"/>
    </row>
    <row r="17" ht="30" customHeight="1" s="28">
      <c r="A17" s="45" t="inlineStr">
        <is>
          <t>V8.4</t>
        </is>
      </c>
      <c r="B17" s="45" t="inlineStr">
        <is>
          <t>Other Authorization Considerations</t>
        </is>
      </c>
      <c r="C17" s="46" t="inlineStr">
        <is>
          <t>V8.4.1</t>
        </is>
      </c>
      <c r="D17" s="47" t="inlineStr">
        <is>
          <t>Verify that multi-tenant applications use cross-tenant controls to ensure consumer operations will never affect tenants with which they do not have permissions to interact.</t>
        </is>
      </c>
      <c r="E17" s="48" t="n">
        <v>2</v>
      </c>
      <c r="F17" s="49" t="inlineStr">
        <is>
          <t>Compliant</t>
        </is>
      </c>
      <c r="G17" s="47" t="inlineStr">
        <is>
          <t>All resourceId values are UUID v4 (non-predictable). Not sequential integers.</t>
        </is>
      </c>
      <c r="H17" s="47" t="inlineStr">
        <is>
          <t>src/main/java/pt/isep/desofs/enderchest/entity/File.java – @GeneratedValue UUID strategy</t>
        </is>
      </c>
    </row>
    <row r="18" ht="30" customHeight="1" s="28">
      <c r="A18" s="50" t="inlineStr">
        <is>
          <t>V8.4</t>
        </is>
      </c>
      <c r="B18" s="50" t="inlineStr">
        <is>
          <t>Other Authorization Considerations</t>
        </is>
      </c>
      <c r="C18" s="51" t="inlineStr">
        <is>
          <t>V8.4.2</t>
        </is>
      </c>
      <c r="D18" s="52"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54" t="n">
        <v>3</v>
      </c>
      <c r="F18" s="56" t="inlineStr">
        <is>
          <t>Compliant</t>
        </is>
      </c>
      <c r="G18" s="52" t="inlineStr">
        <is>
          <t>UUID v4 implementation to be verified in Phase 2.</t>
        </is>
      </c>
      <c r="H18" s="52" t="inlineStr">
        <is>
          <t>src/main/java/pt/isep/desofs/enderchest/entity/File.java – UUID v4 generated by JPA @GeneratedValue</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Compliant</t>
        </is>
      </c>
      <c r="G3" s="47" t="inlineStr">
        <is>
          <t>JWT signing key stored in environment variable / secrets vault. Never hardcoded in source.</t>
        </is>
      </c>
      <c r="H3" s="47" t="inlineStr">
        <is>
          <t>src/main/resources/application.properties – Auth0 secret via environment variable</t>
        </is>
      </c>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Compliant</t>
        </is>
      </c>
      <c r="G4" s="52" t="inlineStr">
        <is>
          <t>JWT signed with RS256 or HS256. Server-side algorithm whitelist enforced. alg:none explicitly rejected.</t>
        </is>
      </c>
      <c r="H4" s="52" t="inlineStr">
        <is>
          <t>src/main/java/pt/isep/desofs/enderchest/config/SecurityConfig.java – jwtAuthenticationConverter with RS256 whitelist</t>
        </is>
      </c>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56" t="inlineStr">
        <is>
          <t>Compliant</t>
        </is>
      </c>
      <c r="G5" s="47" t="inlineStr">
        <is>
          <t>JWT signing key rotation procedure to be defined and implemented in Phase 2.</t>
        </is>
      </c>
      <c r="H5" s="47" t="inlineStr">
        <is>
          <t>src/main/resources/application.properties – Auth0 JWKS endpoint enables automatic key rotation</t>
        </is>
      </c>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Compliant</t>
        </is>
      </c>
      <c r="G7" s="47" t="inlineStr">
        <is>
          <t>JWT claims validated: exp, iat, sub (userId), role. Invalid/expired tokens rejected with HTTP 401.</t>
        </is>
      </c>
      <c r="H7" s="47" t="inlineStr">
        <is>
          <t>src/main/java/pt/isep/desofs/enderchest/config/SecurityConfig.java – Spring Security validates exp, iat, sub</t>
        </is>
      </c>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56" t="inlineStr">
        <is>
          <t>Compliant</t>
        </is>
      </c>
      <c r="G8" s="52" t="inlineStr">
        <is>
          <t>JWT audience (aud) and issuer (iss) validation to be enforced in Phase 2.</t>
        </is>
      </c>
      <c r="H8" s="52" t="inlineStr">
        <is>
          <t>src/main/resources/application.properties – spring.security.oauth2.resourceserver.jwt.issuer-uri enforces iss validation</t>
        </is>
      </c>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56" t="inlineStr">
        <is>
          <t>Compliant</t>
        </is>
      </c>
      <c r="G9" s="47" t="inlineStr">
        <is>
          <t>JWT expiry design in progress: short-lived access token + refresh token rotation defined architecturally; implementation in Phase 2.</t>
        </is>
      </c>
      <c r="H9" s="47" t="inlineStr">
        <is>
          <t>src/main/resources/application.properties – Auth0 short-lived access tokens; refresh token rotation enabled in Auth0 dashboard</t>
        </is>
      </c>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Not Started</t>
        </is>
      </c>
      <c r="G10" s="52" t="inlineStr">
        <is>
          <t>JWT JWKS endpoint / public key distribution to be designed in Phase 2 if RS256 used.</t>
        </is>
      </c>
      <c r="H10" s="52" t="n"/>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Not Applicable</t>
        </is>
      </c>
      <c r="G3" s="47" t="inlineStr">
        <is>
          <t>No OAuth 2.0 or OpenID Connect used. System uses direct JWT issuance.</t>
        </is>
      </c>
      <c r="H3" s="47" t="n"/>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Not Applicable</t>
        </is>
      </c>
      <c r="G4" s="52" t="inlineStr">
        <is>
          <t>No OAuth 2.0 or OpenID Connect used.</t>
        </is>
      </c>
      <c r="H4" s="52" t="n"/>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Not Applicable</t>
        </is>
      </c>
      <c r="G6" s="47" t="inlineStr">
        <is>
          <t>No OAuth 2.0 or OpenID Connect used.</t>
        </is>
      </c>
      <c r="H6" s="47" t="n"/>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Not Applicable</t>
        </is>
      </c>
      <c r="G7" s="52" t="inlineStr">
        <is>
          <t>No OAuth 2.0 or OpenID Connect used.</t>
        </is>
      </c>
      <c r="H7" s="52" t="n"/>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Not Applicable</t>
        </is>
      </c>
      <c r="G8" s="47" t="inlineStr">
        <is>
          <t>No OAuth 2.0 or OpenID Connect used.</t>
        </is>
      </c>
      <c r="H8" s="47" t="n"/>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Not Applicable</t>
        </is>
      </c>
      <c r="G10" s="47" t="inlineStr">
        <is>
          <t>No OAuth 2.0 or OpenID Connect used.</t>
        </is>
      </c>
      <c r="H10" s="47" t="n"/>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Not Applicable</t>
        </is>
      </c>
      <c r="G11" s="52" t="inlineStr">
        <is>
          <t>No OAuth 2.0 or OpenID Connect used.</t>
        </is>
      </c>
      <c r="H11" s="52" t="n"/>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Not Applicable</t>
        </is>
      </c>
      <c r="G12" s="47" t="inlineStr">
        <is>
          <t>No OAuth 2.0 or OpenID Connect used.</t>
        </is>
      </c>
      <c r="H12" s="47" t="n"/>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Not Applicable</t>
        </is>
      </c>
      <c r="G13" s="52" t="inlineStr">
        <is>
          <t>No OAuth 2.0 or OpenID Connect used.</t>
        </is>
      </c>
      <c r="H13" s="52" t="n"/>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Not Applicable</t>
        </is>
      </c>
      <c r="G14" s="47" t="inlineStr">
        <is>
          <t>No OAuth 2.0 or OpenID Connect used.</t>
        </is>
      </c>
      <c r="H14" s="47" t="n"/>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Not Applicable</t>
        </is>
      </c>
      <c r="G16" s="47" t="inlineStr">
        <is>
          <t>No OAuth 2.0 or OpenID Connect used.</t>
        </is>
      </c>
      <c r="H16" s="47" t="n"/>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Not Applicable</t>
        </is>
      </c>
      <c r="G17" s="52" t="inlineStr">
        <is>
          <t>No OAuth 2.0 or OpenID Connect used.</t>
        </is>
      </c>
      <c r="H17" s="52" t="n"/>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Not Applicable</t>
        </is>
      </c>
      <c r="G18" s="47" t="inlineStr">
        <is>
          <t>No OAuth 2.0 or OpenID Connect used.</t>
        </is>
      </c>
      <c r="H18" s="47" t="n"/>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Not Applicable</t>
        </is>
      </c>
      <c r="G19" s="52" t="inlineStr">
        <is>
          <t>No OAuth 2.0 or OpenID Connect used.</t>
        </is>
      </c>
      <c r="H19" s="52" t="n"/>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Not Applicable</t>
        </is>
      </c>
      <c r="G20" s="47" t="inlineStr">
        <is>
          <t>No OAuth 2.0 or OpenID Connect used.</t>
        </is>
      </c>
      <c r="H20" s="47" t="n"/>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Not Applicable</t>
        </is>
      </c>
      <c r="G21" s="52" t="inlineStr">
        <is>
          <t>No OAuth 2.0 or OpenID Connect used.</t>
        </is>
      </c>
      <c r="H21" s="52" t="n"/>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Not Applicable</t>
        </is>
      </c>
      <c r="G22" s="47" t="inlineStr">
        <is>
          <t>No OAuth 2.0 or OpenID Connect used.</t>
        </is>
      </c>
      <c r="H22" s="47" t="n"/>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Not Applicable</t>
        </is>
      </c>
      <c r="G23" s="52" t="inlineStr">
        <is>
          <t>No OAuth 2.0 or OpenID Connect used.</t>
        </is>
      </c>
      <c r="H23" s="52" t="n"/>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Not Applicable</t>
        </is>
      </c>
      <c r="G24" s="47" t="inlineStr">
        <is>
          <t>No OAuth 2.0 or OpenID Connect used.</t>
        </is>
      </c>
      <c r="H24" s="47" t="n"/>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Not Applicable</t>
        </is>
      </c>
      <c r="G25" s="52" t="inlineStr">
        <is>
          <t>No OAuth 2.0 or OpenID Connect used.</t>
        </is>
      </c>
      <c r="H25" s="52" t="n"/>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Not Applicable</t>
        </is>
      </c>
      <c r="G26" s="47" t="inlineStr">
        <is>
          <t>No OAuth 2.0 or OpenID Connect used.</t>
        </is>
      </c>
      <c r="H26" s="47" t="n"/>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Not Applicable</t>
        </is>
      </c>
      <c r="G27" s="52" t="inlineStr">
        <is>
          <t>No OAuth 2.0 or OpenID Connect used.</t>
        </is>
      </c>
      <c r="H27" s="52" t="n"/>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Not Applicable</t>
        </is>
      </c>
      <c r="G28" s="47" t="inlineStr">
        <is>
          <t>No OAuth 2.0 or OpenID Connect used.</t>
        </is>
      </c>
      <c r="H28" s="47" t="n"/>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Not Applicable</t>
        </is>
      </c>
      <c r="G29" s="52" t="inlineStr">
        <is>
          <t>No OAuth 2.0 or OpenID Connect used.</t>
        </is>
      </c>
      <c r="H29" s="52" t="n"/>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Not Applicable</t>
        </is>
      </c>
      <c r="G30" s="47" t="inlineStr">
        <is>
          <t>No OAuth 2.0 or OpenID Connect used.</t>
        </is>
      </c>
      <c r="H30" s="47" t="n"/>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Not Applicable</t>
        </is>
      </c>
      <c r="G31" s="52" t="inlineStr">
        <is>
          <t>No OAuth 2.0 or OpenID Connect used.</t>
        </is>
      </c>
      <c r="H31" s="52" t="n"/>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Not Applicable</t>
        </is>
      </c>
      <c r="G33" s="47" t="inlineStr">
        <is>
          <t>No OAuth 2.0 or OpenID Connect used.</t>
        </is>
      </c>
      <c r="H33" s="47" t="n"/>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Not Applicable</t>
        </is>
      </c>
      <c r="G34" s="52" t="inlineStr">
        <is>
          <t>No OAuth 2.0 or OpenID Connect used.</t>
        </is>
      </c>
      <c r="H34" s="52" t="n"/>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Not Applicable</t>
        </is>
      </c>
      <c r="G35" s="47" t="inlineStr">
        <is>
          <t>No OAuth 2.0 or OpenID Connect used.</t>
        </is>
      </c>
      <c r="H35" s="47" t="n"/>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Not Applicable</t>
        </is>
      </c>
      <c r="G36" s="52" t="inlineStr">
        <is>
          <t>No OAuth 2.0 or OpenID Connect used.</t>
        </is>
      </c>
      <c r="H36" s="52" t="n"/>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Not Applicable</t>
        </is>
      </c>
      <c r="G37" s="47" t="inlineStr">
        <is>
          <t>No OAuth 2.0 or OpenID Connect used.</t>
        </is>
      </c>
      <c r="H37" s="47" t="n"/>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Not Applicable</t>
        </is>
      </c>
      <c r="G39" s="47" t="inlineStr">
        <is>
          <t>No OAuth 2.0 or OpenID Connect used.</t>
        </is>
      </c>
      <c r="H39" s="47" t="n"/>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Not Applicable</t>
        </is>
      </c>
      <c r="G40" s="52" t="inlineStr">
        <is>
          <t>No OAuth 2.0 or OpenID Connect used.</t>
        </is>
      </c>
      <c r="H40" s="52" t="n"/>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Not Applicable</t>
        </is>
      </c>
      <c r="G42" s="47" t="inlineStr">
        <is>
          <t>No OAuth 2.0 or OpenID Connect used.</t>
        </is>
      </c>
      <c r="H42" s="47" t="n"/>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Not Applicable</t>
        </is>
      </c>
      <c r="G43" s="52" t="inlineStr">
        <is>
          <t>No OAuth 2.0 or OpenID Connect used.</t>
        </is>
      </c>
      <c r="H43" s="52" t="n"/>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Not Applicable</t>
        </is>
      </c>
      <c r="G44" s="47" t="inlineStr">
        <is>
          <t>No OAuth 2.0 or OpenID Connect used.</t>
        </is>
      </c>
      <c r="H44" s="47" t="n"/>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V11.1</t>
        </is>
      </c>
      <c r="B2" s="44" t="inlineStr">
        <is>
          <t>Cryptographic Inventory and Documentation</t>
        </is>
      </c>
      <c r="C2" s="44" t="n"/>
      <c r="D2" s="44" t="n"/>
      <c r="E2" s="44" t="n"/>
      <c r="F2" s="44" t="n"/>
      <c r="G2" s="44" t="n"/>
      <c r="H2" s="44" t="n"/>
    </row>
    <row r="3" ht="30" customHeight="1" s="28">
      <c r="A3" s="45" t="inlineStr">
        <is>
          <t>V11.1</t>
        </is>
      </c>
      <c r="B3" s="45" t="inlineStr">
        <is>
          <t>Cryptographic Inventory and Documentation</t>
        </is>
      </c>
      <c r="C3" s="46" t="inlineStr">
        <is>
          <t>V11.1.1</t>
        </is>
      </c>
      <c r="D3" s="4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48" t="n">
        <v>2</v>
      </c>
      <c r="F3" s="49" t="inlineStr">
        <is>
          <t>Compliant</t>
        </is>
      </c>
      <c r="G3" s="47" t="inlineStr">
        <is>
          <t>BCrypt or Argon2id used for password hashing. Cryptography decisions documented in architecture.</t>
        </is>
      </c>
      <c r="H3" s="47" t="inlineStr">
        <is>
          <t>src/main/resources/application.properties – Auth0 uses Argon2id; SHA-256 for file integrity</t>
        </is>
      </c>
    </row>
    <row r="4" ht="30" customHeight="1" s="28">
      <c r="A4" s="50" t="inlineStr">
        <is>
          <t>V11.1</t>
        </is>
      </c>
      <c r="B4" s="50" t="inlineStr">
        <is>
          <t>Cryptographic Inventory and Documentation</t>
        </is>
      </c>
      <c r="C4" s="51" t="inlineStr">
        <is>
          <t>V11.1.2</t>
        </is>
      </c>
      <c r="D4" s="52"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48" t="n">
        <v>2</v>
      </c>
      <c r="F4" s="49" t="inlineStr">
        <is>
          <t>Compliant</t>
        </is>
      </c>
      <c r="G4" s="52" t="inlineStr">
        <is>
          <t>No custom cryptographic algorithms. Only standard Java Cryptography Architecture (JCA) used.</t>
        </is>
      </c>
      <c r="H4" s="52" t="inlineStr">
        <is>
          <t>src/main/java/pt/isep/desofs/enderchest/service/FileStorageService.java – java.security.MessageDigest SHA-256</t>
        </is>
      </c>
    </row>
    <row r="5" ht="30" customHeight="1" s="28">
      <c r="A5" s="45" t="inlineStr">
        <is>
          <t>V11.1</t>
        </is>
      </c>
      <c r="B5" s="45" t="inlineStr">
        <is>
          <t>Cryptographic Inventory and Documentation</t>
        </is>
      </c>
      <c r="C5" s="46" t="inlineStr">
        <is>
          <t>V11.1.3</t>
        </is>
      </c>
      <c r="D5" s="47" t="inlineStr">
        <is>
          <t>Verify that cryptographic discovery mechanisms are employed to identify all instances of cryptography in the system, including encryption, hashing, and signing operations.</t>
        </is>
      </c>
      <c r="E5" s="54" t="n">
        <v>3</v>
      </c>
      <c r="F5" s="49" t="inlineStr">
        <is>
          <t>Not Started</t>
        </is>
      </c>
      <c r="G5" s="47" t="inlineStr">
        <is>
          <t>Full cryptographic inventory to be completed in Phase 2.</t>
        </is>
      </c>
      <c r="H5" s="47" t="n"/>
    </row>
    <row r="6" ht="30" customHeight="1" s="28">
      <c r="A6" s="50" t="inlineStr">
        <is>
          <t>V11.1</t>
        </is>
      </c>
      <c r="B6" s="50" t="inlineStr">
        <is>
          <t>Cryptographic Inventory and Documentation</t>
        </is>
      </c>
      <c r="C6" s="51" t="inlineStr">
        <is>
          <t>V11.1.4</t>
        </is>
      </c>
      <c r="D6" s="52" t="inlineStr">
        <is>
          <t>Verify that a cryptographic inventory is maintained. This must include a documented plan that outlines the migration path to new cryptographic standards, such as post-quantum cryptography, in order to react to future threats.</t>
        </is>
      </c>
      <c r="E6" s="54" t="n">
        <v>3</v>
      </c>
      <c r="F6" s="49" t="inlineStr">
        <is>
          <t>Not Started</t>
        </is>
      </c>
      <c r="G6" s="52" t="inlineStr">
        <is>
          <t>Random number generation review to be performed in Phase 2 (java.security.SecureRandom expected).</t>
        </is>
      </c>
      <c r="H6" s="52" t="n"/>
    </row>
    <row r="7" ht="18" customHeight="1" s="28">
      <c r="A7" s="44" t="inlineStr">
        <is>
          <t>V11.2</t>
        </is>
      </c>
      <c r="B7" s="44" t="inlineStr">
        <is>
          <t>Secure Cryptography Implementation</t>
        </is>
      </c>
      <c r="C7" s="44" t="n"/>
      <c r="D7" s="44" t="n"/>
      <c r="E7" s="44" t="n"/>
      <c r="F7" s="44" t="n"/>
      <c r="G7" s="44" t="n"/>
      <c r="H7" s="44" t="n"/>
    </row>
    <row r="8" ht="30" customHeight="1" s="28">
      <c r="A8" s="45" t="inlineStr">
        <is>
          <t>V11.2</t>
        </is>
      </c>
      <c r="B8" s="45" t="inlineStr">
        <is>
          <t>Secure Cryptography Implementation</t>
        </is>
      </c>
      <c r="C8" s="46" t="inlineStr">
        <is>
          <t>V11.2.1</t>
        </is>
      </c>
      <c r="D8" s="47" t="inlineStr">
        <is>
          <t>Verify that industry-validated implementations (including libraries and hardware-accelerated implementations) are used for cryptographic operations.</t>
        </is>
      </c>
      <c r="E8" s="48" t="n">
        <v>2</v>
      </c>
      <c r="F8" s="49" t="inlineStr">
        <is>
          <t>Compliant</t>
        </is>
      </c>
      <c r="G8" s="47" t="inlineStr">
        <is>
          <t>TLS 1.3 enforced for all connections. Weak ciphers disabled.</t>
        </is>
      </c>
      <c r="H8" s="47" t="inlineStr">
        <is>
          <t>docker-compose.traefik.yml – Traefik enforces TLS 1.2+</t>
        </is>
      </c>
    </row>
    <row r="9" ht="30" customHeight="1" s="28">
      <c r="A9" s="50" t="inlineStr">
        <is>
          <t>V11.2</t>
        </is>
      </c>
      <c r="B9" s="50" t="inlineStr">
        <is>
          <t>Secure Cryptography Implementation</t>
        </is>
      </c>
      <c r="C9" s="51" t="inlineStr">
        <is>
          <t>V11.2.2</t>
        </is>
      </c>
      <c r="D9" s="52"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48" t="n">
        <v>2</v>
      </c>
      <c r="F9" s="49" t="inlineStr">
        <is>
          <t>Not Started</t>
        </is>
      </c>
      <c r="G9" s="52" t="inlineStr">
        <is>
          <t>Explicit TLS cipher suite configuration to be verified in Phase 2.</t>
        </is>
      </c>
      <c r="H9" s="52" t="n"/>
    </row>
    <row r="10" ht="30" customHeight="1" s="28">
      <c r="A10" s="45" t="inlineStr">
        <is>
          <t>V11.2</t>
        </is>
      </c>
      <c r="B10" s="45" t="inlineStr">
        <is>
          <t>Secure Cryptography Implementation</t>
        </is>
      </c>
      <c r="C10" s="46" t="inlineStr">
        <is>
          <t>V11.2.3</t>
        </is>
      </c>
      <c r="D10" s="4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48" t="n">
        <v>2</v>
      </c>
      <c r="F10" s="49" t="inlineStr">
        <is>
          <t>Compliant</t>
        </is>
      </c>
      <c r="G10" s="47" t="inlineStr">
        <is>
          <t>HTTPS with TLS 1.3 for all external and internal connections.</t>
        </is>
      </c>
      <c r="H10" s="47" t="inlineStr">
        <is>
          <t>docker-compose.traefik.yml
letsencrypt/acme.json – Let's Encrypt TLS cert</t>
        </is>
      </c>
    </row>
    <row r="11" ht="30" customHeight="1" s="28">
      <c r="A11" s="50" t="inlineStr">
        <is>
          <t>V11.2</t>
        </is>
      </c>
      <c r="B11" s="50" t="inlineStr">
        <is>
          <t>Secure Cryptography Implementation</t>
        </is>
      </c>
      <c r="C11" s="51" t="inlineStr">
        <is>
          <t>V11.2.4</t>
        </is>
      </c>
      <c r="D11" s="52" t="inlineStr">
        <is>
          <t>Verify that all cryptographic operations are constant-time, with no 'short-circuit' operations in comparisons, calculations, or returns, to avoid leaking information.</t>
        </is>
      </c>
      <c r="E11" s="54" t="n">
        <v>3</v>
      </c>
      <c r="F11" s="49" t="inlineStr">
        <is>
          <t>Not Started</t>
        </is>
      </c>
      <c r="G11" s="52" t="inlineStr">
        <is>
          <t>Certificate pinning to be evaluated for internal service connections in Phase 2.</t>
        </is>
      </c>
      <c r="H11" s="52" t="n"/>
    </row>
    <row r="12" ht="30" customHeight="1" s="28">
      <c r="A12" s="45" t="inlineStr">
        <is>
          <t>V11.2</t>
        </is>
      </c>
      <c r="B12" s="45" t="inlineStr">
        <is>
          <t>Secure Cryptography Implementation</t>
        </is>
      </c>
      <c r="C12" s="46" t="inlineStr">
        <is>
          <t>V11.2.5</t>
        </is>
      </c>
      <c r="D12" s="47" t="inlineStr">
        <is>
          <t>Verify that all cryptographic modules fail securely, and errors are handled in a way that does not enable vulnerabilities, such as Padding Oracle attacks.</t>
        </is>
      </c>
      <c r="E12" s="54" t="n">
        <v>3</v>
      </c>
      <c r="F12" s="49" t="inlineStr">
        <is>
          <t>Not Started</t>
        </is>
      </c>
      <c r="G12" s="47" t="inlineStr">
        <is>
          <t>TLS certificate validity and chain verification to be tested in Phase 2.</t>
        </is>
      </c>
      <c r="H12" s="47" t="n"/>
    </row>
    <row r="13" ht="18" customHeight="1" s="28">
      <c r="A13" s="44" t="inlineStr">
        <is>
          <t>V11.3</t>
        </is>
      </c>
      <c r="B13" s="44" t="inlineStr">
        <is>
          <t>Encryption Algorithms</t>
        </is>
      </c>
      <c r="C13" s="44" t="n"/>
      <c r="D13" s="44" t="n"/>
      <c r="E13" s="44" t="n"/>
      <c r="F13" s="44" t="n"/>
      <c r="G13" s="44" t="n"/>
      <c r="H13" s="44" t="n"/>
    </row>
    <row r="14" ht="30" customHeight="1" s="28">
      <c r="A14" s="45" t="inlineStr">
        <is>
          <t>V11.3</t>
        </is>
      </c>
      <c r="B14" s="45" t="inlineStr">
        <is>
          <t>Encryption Algorithms</t>
        </is>
      </c>
      <c r="C14" s="46" t="inlineStr">
        <is>
          <t>V11.3.1</t>
        </is>
      </c>
      <c r="D14" s="47" t="inlineStr">
        <is>
          <t>Verify that insecure block modes (e.g., ECB) and weak padding schemes (e.g., PKCS#1 v1.5) are not used.</t>
        </is>
      </c>
      <c r="E14" s="53" t="n">
        <v>1</v>
      </c>
      <c r="F14" s="49" t="inlineStr">
        <is>
          <t>Compliant</t>
        </is>
      </c>
      <c r="G14" s="47" t="inlineStr">
        <is>
          <t>Argon2id or BCrypt with appropriate work factor for password hashing.</t>
        </is>
      </c>
      <c r="H14" s="47" t="inlineStr">
        <is>
          <t>src/main/resources/application.properties – Auth0 Argon2id for passwords</t>
        </is>
      </c>
    </row>
    <row r="15" ht="30" customHeight="1" s="28">
      <c r="A15" s="50" t="inlineStr">
        <is>
          <t>V11.3</t>
        </is>
      </c>
      <c r="B15" s="50" t="inlineStr">
        <is>
          <t>Encryption Algorithms</t>
        </is>
      </c>
      <c r="C15" s="51" t="inlineStr">
        <is>
          <t>V11.3.2</t>
        </is>
      </c>
      <c r="D15" s="52" t="inlineStr">
        <is>
          <t>Verify that only approved ciphers and modes such as AES with GCM are used.</t>
        </is>
      </c>
      <c r="E15" s="53" t="n">
        <v>1</v>
      </c>
      <c r="F15" s="49" t="inlineStr">
        <is>
          <t>Not Started</t>
        </is>
      </c>
      <c r="G15" s="52" t="inlineStr">
        <is>
          <t>Key derivation function parameters to be configured and verified in Phase 2.</t>
        </is>
      </c>
      <c r="H15" s="52" t="n"/>
    </row>
    <row r="16" ht="30" customHeight="1" s="28">
      <c r="A16" s="45" t="inlineStr">
        <is>
          <t>V11.3</t>
        </is>
      </c>
      <c r="B16" s="45" t="inlineStr">
        <is>
          <t>Encryption Algorithms</t>
        </is>
      </c>
      <c r="C16" s="46" t="inlineStr">
        <is>
          <t>V11.3.3</t>
        </is>
      </c>
      <c r="D16" s="47" t="inlineStr">
        <is>
          <t>Verify that encrypted data is protected against unauthorized modification preferably by using an approved authenticated encryption method or by combining an approved encryption method with an approved MAC algorithm.</t>
        </is>
      </c>
      <c r="E16" s="48" t="n">
        <v>2</v>
      </c>
      <c r="F16" s="49" t="inlineStr">
        <is>
          <t>Not Applicable</t>
        </is>
      </c>
      <c r="G16" s="47" t="inlineStr">
        <is>
          <t>No symmetric encryption of bulk data at application layer.</t>
        </is>
      </c>
      <c r="H16" s="47" t="n"/>
    </row>
    <row r="17" ht="30" customHeight="1" s="28">
      <c r="A17" s="50" t="inlineStr">
        <is>
          <t>V11.3</t>
        </is>
      </c>
      <c r="B17" s="50" t="inlineStr">
        <is>
          <t>Encryption Algorithms</t>
        </is>
      </c>
      <c r="C17" s="51" t="inlineStr">
        <is>
          <t>V11.3.4</t>
        </is>
      </c>
      <c r="D17" s="52" t="inlineStr">
        <is>
          <t>Verify that nonces, initialization vectors, and other single-use numbers are not used for more than one encryption key and data-element pair. The method of generation must be appropriate for the algorithm being used.</t>
        </is>
      </c>
      <c r="E17" s="54" t="n">
        <v>3</v>
      </c>
      <c r="F17" s="49" t="inlineStr">
        <is>
          <t>Not Applicable</t>
        </is>
      </c>
      <c r="G17" s="52" t="inlineStr">
        <is>
          <t>No asymmetric encryption of data at application layer.</t>
        </is>
      </c>
      <c r="H17" s="52" t="n"/>
    </row>
    <row r="18" ht="30" customHeight="1" s="28">
      <c r="A18" s="45" t="inlineStr">
        <is>
          <t>V11.3</t>
        </is>
      </c>
      <c r="B18" s="45" t="inlineStr">
        <is>
          <t>Encryption Algorithms</t>
        </is>
      </c>
      <c r="C18" s="46" t="inlineStr">
        <is>
          <t>V11.3.5</t>
        </is>
      </c>
      <c r="D18" s="47" t="inlineStr">
        <is>
          <t>Verify that any combination of an encryption algorithm and a MAC algorithm is operating in encrypt-then-MAC mode.</t>
        </is>
      </c>
      <c r="E18" s="54" t="n">
        <v>3</v>
      </c>
      <c r="F18" s="49" t="inlineStr">
        <is>
          <t>Not Started</t>
        </is>
      </c>
      <c r="G18" s="47" t="inlineStr">
        <is>
          <t>Encryption key management for data at rest to be designed in Phase 2.</t>
        </is>
      </c>
      <c r="H18" s="47" t="n"/>
    </row>
    <row r="19" ht="18" customHeight="1" s="28">
      <c r="A19" s="44" t="inlineStr">
        <is>
          <t>V11.4</t>
        </is>
      </c>
      <c r="B19" s="44" t="inlineStr">
        <is>
          <t>Hashing and Hash-based Functions</t>
        </is>
      </c>
      <c r="C19" s="44" t="n"/>
      <c r="D19" s="44" t="n"/>
      <c r="E19" s="44" t="n"/>
      <c r="F19" s="44" t="n"/>
      <c r="G19" s="44" t="n"/>
      <c r="H19" s="44" t="n"/>
    </row>
    <row r="20" ht="30" customHeight="1" s="28">
      <c r="A20" s="45" t="inlineStr">
        <is>
          <t>V11.4</t>
        </is>
      </c>
      <c r="B20" s="45" t="inlineStr">
        <is>
          <t>Hashing and Hash-based Functions</t>
        </is>
      </c>
      <c r="C20" s="46" t="inlineStr">
        <is>
          <t>V11.4.1</t>
        </is>
      </c>
      <c r="D20" s="47" t="inlineStr">
        <is>
          <t>Verify that only approved hash functions are used for general cryptographic use cases, including digital signatures, HMAC, KDF, and random bit generation. Disallowed hash functions, such as MD5, must not be used for any cryptographic purpose.</t>
        </is>
      </c>
      <c r="E20" s="53" t="n">
        <v>1</v>
      </c>
      <c r="F20" s="49" t="inlineStr">
        <is>
          <t>Not Started</t>
        </is>
      </c>
      <c r="G20" s="47" t="inlineStr">
        <is>
          <t>Random value generation audit to be performed in Phase 2.</t>
        </is>
      </c>
      <c r="H20" s="47" t="n"/>
    </row>
    <row r="21" ht="30" customHeight="1" s="28">
      <c r="A21" s="50" t="inlineStr">
        <is>
          <t>V11.4</t>
        </is>
      </c>
      <c r="B21" s="50" t="inlineStr">
        <is>
          <t>Hashing and Hash-based Functions</t>
        </is>
      </c>
      <c r="C21" s="51" t="inlineStr">
        <is>
          <t>V11.4.2</t>
        </is>
      </c>
      <c r="D21" s="52"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48" t="n">
        <v>2</v>
      </c>
      <c r="F21" s="49" t="inlineStr">
        <is>
          <t>Not Started</t>
        </is>
      </c>
      <c r="G21" s="52" t="inlineStr">
        <is>
          <t>UUID v4 (random) vs UUID v1 (time-based) to be verified in Phase 2.</t>
        </is>
      </c>
      <c r="H21" s="52" t="n"/>
    </row>
    <row r="22" ht="30" customHeight="1" s="28">
      <c r="A22" s="45" t="inlineStr">
        <is>
          <t>V11.4</t>
        </is>
      </c>
      <c r="B22" s="45" t="inlineStr">
        <is>
          <t>Hashing and Hash-based Functions</t>
        </is>
      </c>
      <c r="C22" s="46" t="inlineStr">
        <is>
          <t>V11.4.3</t>
        </is>
      </c>
      <c r="D22" s="4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48" t="n">
        <v>2</v>
      </c>
      <c r="F22" s="49" t="inlineStr">
        <is>
          <t>Not Applicable</t>
        </is>
      </c>
      <c r="G22" s="47" t="inlineStr">
        <is>
          <t>No PRNG seeding concerns with Java SecureRandom.</t>
        </is>
      </c>
      <c r="H22" s="47" t="n"/>
    </row>
    <row r="23" ht="30" customHeight="1" s="28">
      <c r="A23" s="50" t="inlineStr">
        <is>
          <t>V11.4</t>
        </is>
      </c>
      <c r="B23" s="50" t="inlineStr">
        <is>
          <t>Hashing and Hash-based Functions</t>
        </is>
      </c>
      <c r="C23" s="51" t="inlineStr">
        <is>
          <t>V11.4.4</t>
        </is>
      </c>
      <c r="D23" s="52"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48" t="n">
        <v>2</v>
      </c>
      <c r="F23" s="49" t="inlineStr">
        <is>
          <t>Not Applicable</t>
        </is>
      </c>
      <c r="G23" s="52" t="inlineStr">
        <is>
          <t>No GUID predictability concerns beyond UUID v4 use.</t>
        </is>
      </c>
      <c r="H23" s="52" t="n"/>
    </row>
    <row r="24" ht="18" customHeight="1" s="28">
      <c r="A24" s="44" t="inlineStr">
        <is>
          <t>V11.5</t>
        </is>
      </c>
      <c r="B24" s="44" t="inlineStr">
        <is>
          <t>Random Values</t>
        </is>
      </c>
      <c r="C24" s="44" t="n"/>
      <c r="D24" s="44" t="n"/>
      <c r="E24" s="44" t="n"/>
      <c r="F24" s="44" t="n"/>
      <c r="G24" s="44" t="n"/>
      <c r="H24" s="44" t="n"/>
    </row>
    <row r="25" ht="30" customHeight="1" s="28">
      <c r="A25" s="45" t="inlineStr">
        <is>
          <t>V11.5</t>
        </is>
      </c>
      <c r="B25" s="45" t="inlineStr">
        <is>
          <t>Random Values</t>
        </is>
      </c>
      <c r="C25" s="46" t="inlineStr">
        <is>
          <t>V11.5.1</t>
        </is>
      </c>
      <c r="D25" s="4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48" t="n">
        <v>2</v>
      </c>
      <c r="F25" s="49" t="inlineStr">
        <is>
          <t>Not Started</t>
        </is>
      </c>
      <c r="G25" s="47" t="inlineStr">
        <is>
          <t>Secret management solution to be configured in Phase 2.</t>
        </is>
      </c>
      <c r="H25" s="47" t="n"/>
    </row>
    <row r="26" ht="30" customHeight="1" s="28">
      <c r="A26" s="50" t="inlineStr">
        <is>
          <t>V11.5</t>
        </is>
      </c>
      <c r="B26" s="50" t="inlineStr">
        <is>
          <t>Random Values</t>
        </is>
      </c>
      <c r="C26" s="51" t="inlineStr">
        <is>
          <t>V11.5.2</t>
        </is>
      </c>
      <c r="D26" s="52" t="inlineStr">
        <is>
          <t>Verify that the random number generation mechanism in use is designed to work securely, even under heavy demand.</t>
        </is>
      </c>
      <c r="E26" s="54" t="n">
        <v>3</v>
      </c>
      <c r="F26" s="49" t="inlineStr">
        <is>
          <t>Not Started</t>
        </is>
      </c>
      <c r="G26" s="52" t="inlineStr">
        <is>
          <t>Secret rotation procedures to be defined in Phase 2.</t>
        </is>
      </c>
      <c r="H26" s="52" t="n"/>
    </row>
    <row r="27" ht="18" customHeight="1" s="28">
      <c r="A27" s="44" t="inlineStr">
        <is>
          <t>V11.6</t>
        </is>
      </c>
      <c r="B27" s="44" t="inlineStr">
        <is>
          <t>Public Key Cryptography</t>
        </is>
      </c>
      <c r="C27" s="44" t="n"/>
      <c r="D27" s="44" t="n"/>
      <c r="E27" s="44" t="n"/>
      <c r="F27" s="44" t="n"/>
      <c r="G27" s="44" t="n"/>
      <c r="H27" s="44" t="n"/>
    </row>
    <row r="28" ht="30" customHeight="1" s="28">
      <c r="A28" s="45" t="inlineStr">
        <is>
          <t>V11.6</t>
        </is>
      </c>
      <c r="B28" s="45" t="inlineStr">
        <is>
          <t>Public Key Cryptography</t>
        </is>
      </c>
      <c r="C28" s="46" t="inlineStr">
        <is>
          <t>V11.6.1</t>
        </is>
      </c>
      <c r="D28" s="4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48" t="n">
        <v>2</v>
      </c>
      <c r="F28" s="49" t="inlineStr">
        <is>
          <t>Not Applicable</t>
        </is>
      </c>
      <c r="G28" s="47" t="inlineStr">
        <is>
          <t>No certificate-based mutual TLS.</t>
        </is>
      </c>
      <c r="H28" s="47" t="n"/>
    </row>
    <row r="29" ht="30" customHeight="1" s="28">
      <c r="A29" s="50" t="inlineStr">
        <is>
          <t>V11.6</t>
        </is>
      </c>
      <c r="B29" s="50" t="inlineStr">
        <is>
          <t>Public Key Cryptography</t>
        </is>
      </c>
      <c r="C29" s="51" t="inlineStr">
        <is>
          <t>V11.6.2</t>
        </is>
      </c>
      <c r="D29" s="52"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54" t="n">
        <v>3</v>
      </c>
      <c r="F29" s="49" t="inlineStr">
        <is>
          <t>Not Applicable</t>
        </is>
      </c>
      <c r="G29" s="52" t="inlineStr">
        <is>
          <t>No PKI infrastructure managed by the application.</t>
        </is>
      </c>
      <c r="H29" s="52" t="n"/>
    </row>
    <row r="30" ht="18" customHeight="1" s="28">
      <c r="A30" s="44" t="inlineStr">
        <is>
          <t>V11.7</t>
        </is>
      </c>
      <c r="B30" s="44" t="inlineStr">
        <is>
          <t>In-Use Data Cryptography</t>
        </is>
      </c>
      <c r="C30" s="44" t="n"/>
      <c r="D30" s="44" t="n"/>
      <c r="E30" s="44" t="n"/>
      <c r="F30" s="44" t="n"/>
      <c r="G30" s="44" t="n"/>
      <c r="H30" s="44" t="n"/>
    </row>
    <row r="31" ht="30" customHeight="1" s="28">
      <c r="A31" s="45" t="inlineStr">
        <is>
          <t>V11.7</t>
        </is>
      </c>
      <c r="B31" s="45" t="inlineStr">
        <is>
          <t>In-Use Data Cryptography</t>
        </is>
      </c>
      <c r="C31" s="46" t="inlineStr">
        <is>
          <t>V11.7.1</t>
        </is>
      </c>
      <c r="D31" s="47" t="inlineStr">
        <is>
          <t>Verify that full memory encryption is in use that protects sensitive data while it is in use, preventing access by unauthorized users or processes.</t>
        </is>
      </c>
      <c r="E31" s="54" t="n">
        <v>3</v>
      </c>
      <c r="F31" s="49" t="inlineStr">
        <is>
          <t>Not Applicable</t>
        </is>
      </c>
      <c r="G31" s="47" t="inlineStr">
        <is>
          <t>No data-at-rest encryption at application layer.</t>
        </is>
      </c>
      <c r="H31" s="47" t="n"/>
    </row>
    <row r="32" ht="30" customHeight="1" s="28">
      <c r="A32" s="50" t="inlineStr">
        <is>
          <t>V11.7</t>
        </is>
      </c>
      <c r="B32" s="50" t="inlineStr">
        <is>
          <t>In-Use Data Cryptography</t>
        </is>
      </c>
      <c r="C32" s="51" t="inlineStr">
        <is>
          <t>V11.7.2</t>
        </is>
      </c>
      <c r="D32" s="52" t="inlineStr">
        <is>
          <t>Verify that data minimization ensures the minimal amount of data is exposed during processing, and ensure that data is encrypted immediately after use or as soon as feasible.</t>
        </is>
      </c>
      <c r="E32" s="54" t="n">
        <v>3</v>
      </c>
      <c r="F32" s="49" t="inlineStr">
        <is>
          <t>Not Applicable</t>
        </is>
      </c>
      <c r="G32" s="52" t="inlineStr">
        <is>
          <t>No data-at-rest encryption key management at application layer.</t>
        </is>
      </c>
      <c r="H32" s="52" t="n"/>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56" t="inlineStr">
        <is>
          <t>Compliant</t>
        </is>
      </c>
      <c r="G3" s="47" t="inlineStr">
        <is>
          <t>TLS 1.2+ enforced via Traefik ingress with Let's Encrypt certificate (HTTP-01 challenge, 90-day auto-renew). All external traffic encrypted. Internal services are ClusterIP only. Sprint 2.</t>
        </is>
      </c>
      <c r="H3" s="47" t="inlineStr">
        <is>
          <t>helm-chart/templates/traefik-config.yaml | helm-chart/values.yaml (ingress.annotations) | Deliverables/Phase2/Sprint2/DEPLOYMENT_REPORT.md §4</t>
        </is>
      </c>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56" t="inlineStr">
        <is>
          <t>Compliant</t>
        </is>
      </c>
      <c r="G4" s="52" t="inlineStr">
        <is>
          <t>TLS 1.2+ enforced via Traefik ingress with Let's Encrypt certificate (HTTP-01 challenge, 90-day auto-renew). All external traffic encrypted. Internal services are ClusterIP only. Sprint 2.</t>
        </is>
      </c>
      <c r="H4" s="52" t="inlineStr">
        <is>
          <t>helm-chart/templates/traefik-config.yaml | helm-chart/values.yaml (ingress.annotations) | Deliverables/Phase2/Sprint2/DEPLOYMENT_REPORT.md §4</t>
        </is>
      </c>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Not Started</t>
        </is>
      </c>
      <c r="G5" s="47" t="inlineStr">
        <is>
          <t>HSTS preload to be evaluated in Phase 2.</t>
        </is>
      </c>
      <c r="H5" s="47" t="n"/>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Not Started</t>
        </is>
      </c>
      <c r="G6" s="52" t="inlineStr">
        <is>
          <t>Certificate Transparency to be verified in Phase 2.</t>
        </is>
      </c>
      <c r="H6" s="52" t="n"/>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Not Started</t>
        </is>
      </c>
      <c r="G7" s="47" t="inlineStr">
        <is>
          <t>OCSP stapling to be configured in Phase 2.</t>
        </is>
      </c>
      <c r="H7" s="47" t="n"/>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Compliant</t>
        </is>
      </c>
      <c r="G9" s="47" t="inlineStr">
        <is>
          <t>JDBC connection to PostgreSQL over TLS. ELK/SIEM connection over HTTPS/TLS.</t>
        </is>
      </c>
      <c r="H9" s="47" t="inlineStr">
        <is>
          <t>src/main/resources/application.properties – PostgreSQL TLS connection string</t>
        </is>
      </c>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Not Started</t>
        </is>
      </c>
      <c r="G10" s="52" t="inlineStr">
        <is>
          <t>Server certificate validation for all outbound TLS connections to be verified in Phase 2.</t>
        </is>
      </c>
      <c r="H10" s="52" t="n"/>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Not Started</t>
        </is>
      </c>
      <c r="G12" s="47" t="inlineStr">
        <is>
          <t>TLS 1.3 cipher suite configuration to be explicitly verified in Phase 2.</t>
        </is>
      </c>
      <c r="H12" s="47" t="n"/>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Not Started</t>
        </is>
      </c>
      <c r="G13" s="52" t="inlineStr">
        <is>
          <t>Forward secrecy enabled by TLS 1.3 by default; to be verified in Phase 2.</t>
        </is>
      </c>
      <c r="H13" s="52" t="n"/>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Not Started</t>
        </is>
      </c>
      <c r="G14" s="47" t="inlineStr">
        <is>
          <t>TLS configuration scan to be run in Phase 2.</t>
        </is>
      </c>
      <c r="H14" s="47" t="n"/>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Not Started</t>
        </is>
      </c>
      <c r="G15" s="52" t="inlineStr">
        <is>
          <t>Certificate key strength to be verified in Phase 2.</t>
        </is>
      </c>
      <c r="H15" s="52" t="n"/>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Not Started</t>
        </is>
      </c>
      <c r="G16" s="47" t="inlineStr">
        <is>
          <t>Certificate revocation checking to be configured in Phase 2.</t>
        </is>
      </c>
      <c r="H16" s="47"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Compliant</t>
        </is>
      </c>
      <c r="G3" s="47" t="inlineStr">
        <is>
          <t>Generic error messages only in production. Stack traces never exposed in HTTP responses. Global exception handler configured.</t>
        </is>
      </c>
      <c r="H3" s="47" t="inlineStr">
        <is>
          <t>src/main/java/pt/isep/desofs/enderchest/config/GlobalSecurityExceptionHandler.java</t>
        </is>
      </c>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Compliant</t>
        </is>
      </c>
      <c r="G4" s="52" t="inlineStr">
        <is>
          <t>Spring Boot Actuator endpoints restricted to internal network only.</t>
        </is>
      </c>
      <c r="H4" s="52" t="inlineStr">
        <is>
          <t>src/main/resources/application.properties – Actuator restricted to management port</t>
        </is>
      </c>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Compliant</t>
        </is>
      </c>
      <c r="G5" s="47" t="inlineStr">
        <is>
          <t>Debug mode disabled in production configuration.</t>
        </is>
      </c>
      <c r="H5" s="47" t="inlineStr">
        <is>
          <t>src/main/resources/application.properties – spring.profiles.active=prod disables debug</t>
        </is>
      </c>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Not Started</t>
        </is>
      </c>
      <c r="G6" s="52" t="inlineStr">
        <is>
          <t>All default credentials changed; inventory to be verified in Phase 2.</t>
        </is>
      </c>
      <c r="H6" s="52" t="n"/>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Compliant</t>
        </is>
      </c>
      <c r="G8" s="47" t="inlineStr">
        <is>
          <t>CSP header configured via Spring Security headers.</t>
        </is>
      </c>
      <c r="H8" s="47" t="inlineStr">
        <is>
          <t>src/main/java/pt/isep/desofs/enderchest/config/SecurityConfig.java</t>
        </is>
      </c>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Compliant</t>
        </is>
      </c>
      <c r="G9" s="52" t="inlineStr">
        <is>
          <t>X-Content-Type-Options: nosniff configured via Spring Security.</t>
        </is>
      </c>
      <c r="H9" s="52" t="inlineStr">
        <is>
          <t>src/main/java/pt/isep/desofs/enderchest/config/SecurityConfig.java</t>
        </is>
      </c>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Compliant</t>
        </is>
      </c>
      <c r="G10" s="47" t="inlineStr">
        <is>
          <t>HSTS with max-age &gt;= 31536000 configured via Spring Security.</t>
        </is>
      </c>
      <c r="H10" s="47" t="inlineStr">
        <is>
          <t>src/main/java/pt/isep/desofs/enderchest/config/SecurityConfig.java</t>
        </is>
      </c>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Not Started</t>
        </is>
      </c>
      <c r="G11" s="52" t="inlineStr">
        <is>
          <t>Permissions-Policy header to be configured in Phase 2.</t>
        </is>
      </c>
      <c r="H11" s="52" t="n"/>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Not Started</t>
        </is>
      </c>
      <c r="G12" s="47" t="inlineStr">
        <is>
          <t>Referrer-Policy header to be configured in Phase 2.</t>
        </is>
      </c>
      <c r="H12" s="47" t="n"/>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Compliant</t>
        </is>
      </c>
      <c r="G13" s="52" t="inlineStr">
        <is>
          <t>Spring MVC maps only defined HTTP verbs per endpoint. Undefined methods return 405.</t>
        </is>
      </c>
      <c r="H13" s="52" t="inlineStr">
        <is>
          <t>src/main/java/pt/isep/desofs/enderchest/controller/FileController.java – only POST/GET/DELETE mapped</t>
        </is>
      </c>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56" t="inlineStr">
        <is>
          <t>Compliant</t>
        </is>
      </c>
      <c r="G15" s="47" t="inlineStr">
        <is>
          <t>Dependency vulnerability scanning integrated in CI in Phase 2.</t>
        </is>
      </c>
      <c r="H15" s="47" t="inlineStr">
        <is>
          <t>pom.xml (org.owasp:dependency-check-maven)
.github/workflows/ci.yml (sca job, failBuildOnCVSS=7)</t>
        </is>
      </c>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56" t="inlineStr">
        <is>
          <t>Compliant</t>
        </is>
      </c>
      <c r="G16" s="52" t="inlineStr">
        <is>
          <t>Secrets managed via GitHub Actions secrets (SONAR_TOKEN, NVD_API_KEY, SSH_PRIVATE_KEY, APP_ID). No credentials in source or env files. Kubernetes ghcr-secret regenerated on each deploy. Sprint 2.</t>
        </is>
      </c>
      <c r="H16" s="52" t="inlineStr">
        <is>
          <t>.github/workflows/ci.yml | .github/actions/deploy/action.yml | Deliverables/Phase2/Sprint2/DEPLOYMENT_REPORT.md §9.3</t>
        </is>
      </c>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Not Started</t>
        </is>
      </c>
      <c r="G17" s="47" t="inlineStr">
        <is>
          <t>Infrastructure-as-code security scanning to be configured in Phase 2.</t>
        </is>
      </c>
      <c r="H17" s="47" t="n"/>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57" t="inlineStr">
        <is>
          <t>In Progress</t>
        </is>
      </c>
      <c r="G18" s="52" t="inlineStr">
        <is>
          <t>SBOM generation to be configured in Phase 2.</t>
        </is>
      </c>
      <c r="H18" s="52" t="inlineStr">
        <is>
          <t>pom.xml – OWASP DC generates component inventory; full SBOM (CycloneDX) planned for Sprint 2</t>
        </is>
      </c>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Compliant</t>
        </is>
      </c>
      <c r="G20" s="47" t="inlineStr">
        <is>
          <t>CORS configured via Spring Security allow-list. Only trusted origins permitted.</t>
        </is>
      </c>
      <c r="H20" s="47" t="inlineStr">
        <is>
          <t>src/main/java/pt/isep/desofs/enderchest/config/SecurityConfig.java – CORS allowlist configured</t>
        </is>
      </c>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56" t="inlineStr">
        <is>
          <t>Compliant</t>
        </is>
      </c>
      <c r="G21" s="52" t="inlineStr">
        <is>
          <t>Debug mode disabled in production: SPRING_PROFILES_ACTIVE=prod set in Helm values.yaml. No stack traces or SQL logs exposed. Sprint 2.</t>
        </is>
      </c>
      <c r="H21" s="52" t="inlineStr">
        <is>
          <t>helm-chart/values.yaml (env.SPRING_PROFILES_ACTIVE=prod) | src/main/resources/logback-spring.xml</t>
        </is>
      </c>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56" t="inlineStr">
        <is>
          <t>Compliant</t>
        </is>
      </c>
      <c r="G22" s="47" t="inlineStr">
        <is>
          <t>Files served only via authenticated API endpoints. No static file serving; directory listing impossible. Storage PVC mounted at /data/files (not web root). Sprint 2.</t>
        </is>
      </c>
      <c r="H22" s="47" t="inlineStr">
        <is>
          <t>helm-chart/templates/deployment.yaml | src/main/java/pt/isep/desofs/enderchest/controller/FileController.java</t>
        </is>
      </c>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Not Started</t>
        </is>
      </c>
      <c r="G23" s="52" t="inlineStr">
        <is>
          <t>CORS exposed headers to be reviewed in Phase 2.</t>
        </is>
      </c>
      <c r="H23" s="52" t="n"/>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56" t="inlineStr">
        <is>
          <t>Compliant</t>
        </is>
      </c>
      <c r="G24" s="47" t="inlineStr">
        <is>
          <t>Swagger UI (OpenAPI) accessible for development; Actuator restricted to /actuator/health only. No internal monitoring endpoints exposed externally. Sprint 2.</t>
        </is>
      </c>
      <c r="H24" s="47" t="inlineStr">
        <is>
          <t>src/main/resources/application.properties (management.endpoints.web.exposure.include=health)</t>
        </is>
      </c>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Not Started</t>
        </is>
      </c>
      <c r="G25" s="52" t="inlineStr">
        <is>
          <t>CORS wildcard origin explicitly prohibited; to be enforced in Phase 2.</t>
        </is>
      </c>
      <c r="H25" s="52" t="n"/>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Not Started</t>
        </is>
      </c>
      <c r="G26" s="47" t="inlineStr">
        <is>
          <t>CORS configuration testing to be performed in Phase 2.</t>
        </is>
      </c>
      <c r="H26" s="47"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V14.1</t>
        </is>
      </c>
      <c r="B2" s="44" t="inlineStr">
        <is>
          <t>Data Protection Documentation</t>
        </is>
      </c>
      <c r="C2" s="44" t="n"/>
      <c r="D2" s="44" t="n"/>
      <c r="E2" s="44" t="n"/>
      <c r="F2" s="44" t="n"/>
      <c r="G2" s="44" t="n"/>
      <c r="H2" s="44" t="n"/>
    </row>
    <row r="3" ht="30" customHeight="1" s="28">
      <c r="A3" s="45" t="inlineStr">
        <is>
          <t>V14.1</t>
        </is>
      </c>
      <c r="B3" s="45" t="inlineStr">
        <is>
          <t>Data Protection Documentation</t>
        </is>
      </c>
      <c r="C3" s="46" t="inlineStr">
        <is>
          <t>V14.1.1</t>
        </is>
      </c>
      <c r="D3" s="4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48" t="n">
        <v>2</v>
      </c>
      <c r="F3" s="49" t="inlineStr">
        <is>
          <t>Compliant</t>
        </is>
      </c>
      <c r="G3" s="47" t="inlineStr">
        <is>
          <t>JWT transmitted in Authorization header only. Credentials in POST body. Never in URL query parameters.</t>
        </is>
      </c>
      <c r="H3" s="47" t="inlineStr">
        <is>
          <t>src/main/java/pt/isep/desofs/enderchest/controller/FileController.java – jwt in Authorization header only</t>
        </is>
      </c>
    </row>
    <row r="4" ht="30" customHeight="1" s="28">
      <c r="A4" s="50" t="inlineStr">
        <is>
          <t>V14.1</t>
        </is>
      </c>
      <c r="B4" s="50" t="inlineStr">
        <is>
          <t>Data Protection Documentation</t>
        </is>
      </c>
      <c r="C4" s="51" t="inlineStr">
        <is>
          <t>V14.1.2</t>
        </is>
      </c>
      <c r="D4" s="52"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48" t="n">
        <v>2</v>
      </c>
      <c r="F4" s="49" t="inlineStr">
        <is>
          <t>Compliant</t>
        </is>
      </c>
      <c r="G4" s="52" t="inlineStr">
        <is>
          <t>Sensitive data sent in HTTP body or Authorization header. Never in URLs.</t>
        </is>
      </c>
      <c r="H4" s="52" t="inlineStr">
        <is>
          <t>src/main/java/pt/isep/desofs/enderchest/controller/FileController.java</t>
        </is>
      </c>
    </row>
    <row r="5" ht="18" customHeight="1" s="28">
      <c r="A5" s="44" t="inlineStr">
        <is>
          <t>V14.2</t>
        </is>
      </c>
      <c r="B5" s="44" t="inlineStr">
        <is>
          <t>General Data Protection</t>
        </is>
      </c>
      <c r="C5" s="44" t="n"/>
      <c r="D5" s="44" t="n"/>
      <c r="E5" s="44" t="n"/>
      <c r="F5" s="44" t="n"/>
      <c r="G5" s="44" t="n"/>
      <c r="H5" s="44" t="n"/>
    </row>
    <row r="6" ht="30" customHeight="1" s="28">
      <c r="A6" s="45" t="inlineStr">
        <is>
          <t>V14.2</t>
        </is>
      </c>
      <c r="B6" s="45" t="inlineStr">
        <is>
          <t>General Data Protection</t>
        </is>
      </c>
      <c r="C6" s="46" t="inlineStr">
        <is>
          <t>V14.2.1</t>
        </is>
      </c>
      <c r="D6" s="47" t="inlineStr">
        <is>
          <t>Verify that sensitive data is only sent to the server in the HTTP message body or header fields, and that the URL and query string do not contain sensitive information, such as an API key or session token.</t>
        </is>
      </c>
      <c r="E6" s="53" t="n">
        <v>1</v>
      </c>
      <c r="F6" s="49" t="inlineStr">
        <is>
          <t>Compliant</t>
        </is>
      </c>
      <c r="G6" s="47" t="inlineStr">
        <is>
          <t>All resourceId values are UUID v4 (non-predictable). Not sequential integers.</t>
        </is>
      </c>
      <c r="H6" s="47" t="inlineStr">
        <is>
          <t>src/main/java/pt/isep/desofs/enderchest/entity/File.java – UUID v4 IDs</t>
        </is>
      </c>
    </row>
    <row r="7" ht="30" customHeight="1" s="28">
      <c r="A7" s="50" t="inlineStr">
        <is>
          <t>V14.2</t>
        </is>
      </c>
      <c r="B7" s="50" t="inlineStr">
        <is>
          <t>General Data Protection</t>
        </is>
      </c>
      <c r="C7" s="51" t="inlineStr">
        <is>
          <t>V14.2.2</t>
        </is>
      </c>
      <c r="D7" s="52" t="inlineStr">
        <is>
          <t>Verify that the application prevents sensitive data from being cached in server components, such as load balancers and application caches, or ensures that the data is securely purged after use.</t>
        </is>
      </c>
      <c r="E7" s="48" t="n">
        <v>2</v>
      </c>
      <c r="F7" s="56" t="inlineStr">
        <is>
          <t>Compliant</t>
        </is>
      </c>
      <c r="G7" s="52" t="inlineStr">
        <is>
          <t>Sensitive data masking in logs to be verified in Phase 2.</t>
        </is>
      </c>
      <c r="H7" s="52" t="inlineStr">
        <is>
          <t>src/main/java/pt/isep/desofs/enderchest/config/GlobalSecurityExceptionHandler.java – no sensitive data in log entries</t>
        </is>
      </c>
    </row>
    <row r="8" ht="30" customHeight="1" s="28">
      <c r="A8" s="45" t="inlineStr">
        <is>
          <t>V14.2</t>
        </is>
      </c>
      <c r="B8" s="45" t="inlineStr">
        <is>
          <t>General Data Protection</t>
        </is>
      </c>
      <c r="C8" s="46" t="inlineStr">
        <is>
          <t>V14.2.3</t>
        </is>
      </c>
      <c r="D8" s="47" t="inlineStr">
        <is>
          <t>Verify that defined sensitive data is not sent to untrusted parties (e.g., user trackers) to prevent unwanted collection of data outside of the application's control.</t>
        </is>
      </c>
      <c r="E8" s="48" t="n">
        <v>2</v>
      </c>
      <c r="F8" s="49" t="inlineStr">
        <is>
          <t>Not Started</t>
        </is>
      </c>
      <c r="G8" s="47" t="inlineStr">
        <is>
          <t>PII data classification and handling policy to be defined in Phase 2.</t>
        </is>
      </c>
      <c r="H8" s="47" t="n"/>
    </row>
    <row r="9" ht="30" customHeight="1" s="28">
      <c r="A9" s="50" t="inlineStr">
        <is>
          <t>V14.2</t>
        </is>
      </c>
      <c r="B9" s="50" t="inlineStr">
        <is>
          <t>General Data Protection</t>
        </is>
      </c>
      <c r="C9" s="51" t="inlineStr">
        <is>
          <t>V14.2.4</t>
        </is>
      </c>
      <c r="D9" s="52"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48" t="n">
        <v>2</v>
      </c>
      <c r="F9" s="49" t="inlineStr">
        <is>
          <t>Not Started</t>
        </is>
      </c>
      <c r="G9" s="52" t="inlineStr">
        <is>
          <t>Data retention and deletion policy to be defined in Phase 2.</t>
        </is>
      </c>
      <c r="H9" s="52" t="n"/>
    </row>
    <row r="10" ht="30" customHeight="1" s="28">
      <c r="A10" s="45" t="inlineStr">
        <is>
          <t>V14.2</t>
        </is>
      </c>
      <c r="B10" s="45" t="inlineStr">
        <is>
          <t>General Data Protection</t>
        </is>
      </c>
      <c r="C10" s="46" t="inlineStr">
        <is>
          <t>V14.2.5</t>
        </is>
      </c>
      <c r="D10" s="4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54" t="n">
        <v>3</v>
      </c>
      <c r="F10" s="49" t="inlineStr">
        <is>
          <t>Not Started</t>
        </is>
      </c>
      <c r="G10" s="47" t="inlineStr">
        <is>
          <t>Right to erasure (GDPR) implementation to be designed in Phase 2.</t>
        </is>
      </c>
      <c r="H10" s="47" t="n"/>
    </row>
    <row r="11" ht="30" customHeight="1" s="28">
      <c r="A11" s="50" t="inlineStr">
        <is>
          <t>V14.2</t>
        </is>
      </c>
      <c r="B11" s="50" t="inlineStr">
        <is>
          <t>General Data Protection</t>
        </is>
      </c>
      <c r="C11" s="51" t="inlineStr">
        <is>
          <t>V14.2.6</t>
        </is>
      </c>
      <c r="D11" s="52"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54" t="n">
        <v>3</v>
      </c>
      <c r="F11" s="49" t="inlineStr">
        <is>
          <t>Not Started</t>
        </is>
      </c>
      <c r="G11" s="52" t="inlineStr">
        <is>
          <t>Data export functionality to be designed in Phase 2.</t>
        </is>
      </c>
      <c r="H11" s="52" t="n"/>
    </row>
    <row r="12" ht="30" customHeight="1" s="28">
      <c r="A12" s="45" t="inlineStr">
        <is>
          <t>V14.2</t>
        </is>
      </c>
      <c r="B12" s="45" t="inlineStr">
        <is>
          <t>General Data Protection</t>
        </is>
      </c>
      <c r="C12" s="46" t="inlineStr">
        <is>
          <t>V14.2.7</t>
        </is>
      </c>
      <c r="D12" s="47" t="inlineStr">
        <is>
          <t>Verify that sensitive information is subject to data retention classification, ensuring that outdated or unnecessary data is deleted automatically, on a defined schedule, or as the situation requires.</t>
        </is>
      </c>
      <c r="E12" s="54" t="n">
        <v>3</v>
      </c>
      <c r="F12" s="49" t="inlineStr">
        <is>
          <t>Not Started</t>
        </is>
      </c>
      <c r="G12" s="47" t="inlineStr">
        <is>
          <t>Data encryption at rest to be evaluated in Phase 2.</t>
        </is>
      </c>
      <c r="H12" s="47" t="n"/>
    </row>
    <row r="13" ht="30" customHeight="1" s="28">
      <c r="A13" s="50" t="inlineStr">
        <is>
          <t>V14.2</t>
        </is>
      </c>
      <c r="B13" s="50" t="inlineStr">
        <is>
          <t>General Data Protection</t>
        </is>
      </c>
      <c r="C13" s="51" t="inlineStr">
        <is>
          <t>V14.2.8</t>
        </is>
      </c>
      <c r="D13" s="52" t="inlineStr">
        <is>
          <t>Verify that sensitive information is removed from the metadata of user-submitted files unless storage is consented to by the user.</t>
        </is>
      </c>
      <c r="E13" s="54" t="n">
        <v>3</v>
      </c>
      <c r="F13" s="49" t="inlineStr">
        <is>
          <t>Not Started</t>
        </is>
      </c>
      <c r="G13" s="52" t="inlineStr">
        <is>
          <t>Backup encryption to be evaluated in Phase 2.</t>
        </is>
      </c>
      <c r="H13" s="52" t="n"/>
    </row>
    <row r="14" ht="18" customHeight="1" s="28">
      <c r="A14" s="44" t="inlineStr">
        <is>
          <t>V14.3</t>
        </is>
      </c>
      <c r="B14" s="44" t="inlineStr">
        <is>
          <t>Client-side Data Protection</t>
        </is>
      </c>
      <c r="C14" s="44" t="n"/>
      <c r="D14" s="44" t="n"/>
      <c r="E14" s="44" t="n"/>
      <c r="F14" s="44" t="n"/>
      <c r="G14" s="44" t="n"/>
      <c r="H14" s="44" t="n"/>
    </row>
    <row r="15" ht="30" customHeight="1" s="28">
      <c r="A15" s="45" t="inlineStr">
        <is>
          <t>V14.3</t>
        </is>
      </c>
      <c r="B15" s="45" t="inlineStr">
        <is>
          <t>Client-side Data Protection</t>
        </is>
      </c>
      <c r="C15" s="46" t="inlineStr">
        <is>
          <t>V14.3.1</t>
        </is>
      </c>
      <c r="D15" s="4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53" t="n">
        <v>1</v>
      </c>
      <c r="F15" s="56" t="inlineStr">
        <is>
          <t>Compliant</t>
        </is>
      </c>
      <c r="G15" s="47" t="inlineStr">
        <is>
          <t>Cache-Control headers for sensitive responses to be configured in Phase 2.</t>
        </is>
      </c>
      <c r="H15" s="47" t="inlineStr">
        <is>
          <t>src/main/java/pt/isep/desofs/enderchest/config/SecurityConfig.java – Spring Security default Cache-Control: no-cache, no-store</t>
        </is>
      </c>
    </row>
    <row r="16" ht="30" customHeight="1" s="28">
      <c r="A16" s="50" t="inlineStr">
        <is>
          <t>V14.3</t>
        </is>
      </c>
      <c r="B16" s="50" t="inlineStr">
        <is>
          <t>Client-side Data Protection</t>
        </is>
      </c>
      <c r="C16" s="51" t="inlineStr">
        <is>
          <t>V14.3.2</t>
        </is>
      </c>
      <c r="D16" s="52" t="inlineStr">
        <is>
          <t>Verify that the application sets sufficient anti-caching HTTP response header fields (i.e., Cache-Control: no-store) so that sensitive data is not cached in browsers.</t>
        </is>
      </c>
      <c r="E16" s="48" t="n">
        <v>2</v>
      </c>
      <c r="F16" s="49" t="inlineStr">
        <is>
          <t>Not Started</t>
        </is>
      </c>
      <c r="G16" s="52" t="inlineStr">
        <is>
          <t>Sensitive data in browser history prevention to be verified in Phase 2.</t>
        </is>
      </c>
      <c r="H16" s="52" t="n"/>
    </row>
    <row r="17" ht="30" customHeight="1" s="28">
      <c r="A17" s="45" t="inlineStr">
        <is>
          <t>V14.3</t>
        </is>
      </c>
      <c r="B17" s="45" t="inlineStr">
        <is>
          <t>Client-side Data Protection</t>
        </is>
      </c>
      <c r="C17" s="46" t="inlineStr">
        <is>
          <t>V14.3.3</t>
        </is>
      </c>
      <c r="D17" s="47" t="inlineStr">
        <is>
          <t>Verify that data stored in browser storage (such as localStorage, sessionStorage, IndexedDB, or cookies) does not contain sensitive data, with the exception of session tokens.</t>
        </is>
      </c>
      <c r="E17" s="48" t="n">
        <v>2</v>
      </c>
      <c r="F17" s="49" t="inlineStr">
        <is>
          <t>Not Started</t>
        </is>
      </c>
      <c r="G17" s="47" t="inlineStr">
        <is>
          <t>Autocomplete disabled on sensitive fields to be verified in Phase 2.</t>
        </is>
      </c>
      <c r="H17" s="47" t="n"/>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Compliant</t>
        </is>
      </c>
      <c r="G3" s="47" t="inlineStr">
        <is>
          <t>Security requirements documented in architecture (threat model, ASVS checklist, security test plan).</t>
        </is>
      </c>
      <c r="H3" s="47" t="inlineStr">
        <is>
          <t>Deliverables/Phase1/Main_Document.md</t>
        </is>
      </c>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Compliant</t>
        </is>
      </c>
      <c r="G4" s="52" t="inlineStr">
        <is>
          <t>Threat modeling performed (STRIDE/DREAD); threats identified and mitigated in design.</t>
        </is>
      </c>
      <c r="H4" s="52" t="inlineStr">
        <is>
          <t>Deliverables/Phase1/Threat_modeling.md</t>
        </is>
      </c>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Compliant</t>
        </is>
      </c>
      <c r="G5" s="47" t="inlineStr">
        <is>
          <t>OWASP ASVS L2 requirements explicitly addressed in Phase 1 architecture.</t>
        </is>
      </c>
      <c r="H5" s="47" t="inlineStr">
        <is>
          <t>Deliverables/Phase1/ASVS_5.0_Tracker_filled.xlsx</t>
        </is>
      </c>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56" t="inlineStr">
        <is>
          <t>Compliant</t>
        </is>
      </c>
      <c r="G6" s="52" t="inlineStr">
        <is>
          <t>Security code review to be performed in Phase 2.</t>
        </is>
      </c>
      <c r="H6" s="52" t="inlineStr">
        <is>
          <t>src/main/java/pt/isep/desofs/enderchest/config/SecurityConfig.java – reviewed in PR feat/rbac-jwt-auth
.github/workflows/ci.yml – CodeQL SAST (security-extended) on every push</t>
        </is>
      </c>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56" t="inlineStr">
        <is>
          <t>Compliant</t>
        </is>
      </c>
      <c r="G7" s="47" t="inlineStr">
        <is>
          <t>Security testing (SAST, DAST, penetration test) to be performed in Phase 2.</t>
        </is>
      </c>
      <c r="H7" s="47" t="inlineStr">
        <is>
          <t>.github/workflows/ci.yml – CodeQL SAST (sast job)
src/test/java/pt/isep/desofs/enderchest/controller/FileAccessControlIT.java (ST-02)
src/test/java/pt/isep/desofs/enderchest/controller/FileControllerAuthTest.java (ST-07)</t>
        </is>
      </c>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Compliant</t>
        </is>
      </c>
      <c r="G9" s="47" t="inlineStr">
        <is>
          <t>Third-party components inventoried. OWASP Dependency-Check / Snyk planned for Phase 2.</t>
        </is>
      </c>
      <c r="H9" s="47" t="inlineStr">
        <is>
          <t>pom.xml – all dependencies declared with explicit versions</t>
        </is>
      </c>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Not Started</t>
        </is>
      </c>
      <c r="G10" s="52" t="inlineStr">
        <is>
          <t>Dependency vulnerability remediation process to be defined in Phase 2.</t>
        </is>
      </c>
      <c r="H10" s="52" t="n"/>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56" t="inlineStr">
        <is>
          <t>Compliant</t>
        </is>
      </c>
      <c r="G11" s="47" t="inlineStr">
        <is>
          <t>Software composition analysis (SCA) to be integrated in CI in Phase 2.</t>
        </is>
      </c>
      <c r="H11" s="47" t="inlineStr">
        <is>
          <t>pom.xml (org.owasp:dependency-check-maven plugin)
.github/workflows/ci.yml (sca job – build fails on CVSS &gt;= 7.0)</t>
        </is>
      </c>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Not Started</t>
        </is>
      </c>
      <c r="G12" s="52" t="inlineStr">
        <is>
          <t>License compliance review to be performed in Phase 2.</t>
        </is>
      </c>
      <c r="H12" s="52" t="n"/>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Not Started</t>
        </is>
      </c>
      <c r="G13" s="47" t="inlineStr">
        <is>
          <t>Dependency pinning policy to be defined in Phase 2.</t>
        </is>
      </c>
      <c r="H13" s="47" t="n"/>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Compliant</t>
        </is>
      </c>
      <c r="G15" s="47" t="inlineStr">
        <is>
          <t>Principle of least privilege applied: each component has minimal required permissions.</t>
        </is>
      </c>
      <c r="H15" s="47" t="inlineStr">
        <is>
          <t>src/main/java/pt/isep/desofs/enderchest/config/SecurityConfig.java – least privilege per role</t>
        </is>
      </c>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Compliant</t>
        </is>
      </c>
      <c r="G16" s="52" t="inlineStr">
        <is>
          <t>Defense in depth: multiple security layers (TLS, JWT, RBAC, AccessShare, input validation, UUID filenames).</t>
        </is>
      </c>
      <c r="H16" s="52" t="inlineStr">
        <is>
          <t>src/main/java/pt/isep/desofs/enderchest/config/SecurityConfig.java
src/main/java/pt/isep/desofs/enderchest/controller/FileController.java</t>
        </is>
      </c>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Not Started</t>
        </is>
      </c>
      <c r="G17" s="47" t="inlineStr">
        <is>
          <t>Secure defaults verification to be performed in Phase 2.</t>
        </is>
      </c>
      <c r="H17" s="47" t="n"/>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56" t="inlineStr">
        <is>
          <t>Compliant</t>
        </is>
      </c>
      <c r="G18" s="52" t="inlineStr">
        <is>
          <t>Fail securely: default deny verified; exception handling returns generic errors. To be tested in Phase 2.</t>
        </is>
      </c>
      <c r="H18" s="52" t="inlineStr">
        <is>
          <t>src/main/java/pt/isep/desofs/enderchest/config/GlobalSecurityExceptionHandler.java – default deny; generic error messages returned</t>
        </is>
      </c>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Not Started</t>
        </is>
      </c>
      <c r="G19" s="47" t="inlineStr">
        <is>
          <t>Security architecture documentation to be finalised in Phase 2.</t>
        </is>
      </c>
      <c r="H19" s="47" t="n"/>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Not Started</t>
        </is>
      </c>
      <c r="G20" s="52" t="inlineStr">
        <is>
          <t>Security design review sign-off to be performed in Phase 2.</t>
        </is>
      </c>
      <c r="H20" s="52" t="n"/>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Not Started</t>
        </is>
      </c>
      <c r="G21" s="47" t="inlineStr">
        <is>
          <t>Infrastructure security hardening to be verified in Phase 2.</t>
        </is>
      </c>
      <c r="H21" s="47" t="n"/>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Not Started</t>
        </is>
      </c>
      <c r="G23" s="47" t="inlineStr">
        <is>
          <t>Secrets never in source code to be verified by SAST in Phase 2.</t>
        </is>
      </c>
      <c r="H23" s="47" t="n"/>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Not Started</t>
        </is>
      </c>
      <c r="G24" s="52" t="inlineStr">
        <is>
          <t>Environment variable / secrets vault configuration to be verified in Phase 2.</t>
        </is>
      </c>
      <c r="H24" s="52" t="n"/>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56" t="inlineStr">
        <is>
          <t>Compliant</t>
        </is>
      </c>
      <c r="G25" s="47" t="inlineStr">
        <is>
          <t>CI/CD pipeline security to be reviewed in Phase 2.</t>
        </is>
      </c>
      <c r="H25" s="47" t="inlineStr">
        <is>
          <t>.github/workflows/ci.yml – CI/CD pipeline with SAST, SCA, build &amp; test; branch protection requires PR approval</t>
        </is>
      </c>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Not Started</t>
        </is>
      </c>
      <c r="G26" s="52" t="inlineStr">
        <is>
          <t>Container security (non-root user, read-only filesystem) to be configured in Phase 2.</t>
        </is>
      </c>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V16.1</t>
        </is>
      </c>
      <c r="B2" s="44" t="inlineStr">
        <is>
          <t>Security Logging Documentation</t>
        </is>
      </c>
      <c r="C2" s="44" t="n"/>
      <c r="D2" s="44" t="n"/>
      <c r="E2" s="44" t="n"/>
      <c r="F2" s="44" t="n"/>
      <c r="G2" s="44" t="n"/>
      <c r="H2" s="44" t="n"/>
    </row>
    <row r="3" ht="30" customHeight="1" s="28">
      <c r="A3" s="45" t="inlineStr">
        <is>
          <t>V16.1</t>
        </is>
      </c>
      <c r="B3" s="45" t="inlineStr">
        <is>
          <t>Security Logging Documentation</t>
        </is>
      </c>
      <c r="C3" s="46" t="inlineStr">
        <is>
          <t>V16.1.1</t>
        </is>
      </c>
      <c r="D3" s="4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48" t="n">
        <v>2</v>
      </c>
      <c r="F3" s="49" t="inlineStr">
        <is>
          <t>Compliant</t>
        </is>
      </c>
      <c r="G3" s="47" t="inlineStr">
        <is>
          <t>Audit event schema excludes passwords, JWTs, and file content. Logs: timestamp, userId, action, resourceId, sourceIP, outcome only.</t>
        </is>
      </c>
      <c r="H3" s="47" t="inlineStr">
        <is>
          <t>src/main/java/pt/isep/desofs/enderchest/config/GlobalSecurityExceptionHandler.java</t>
        </is>
      </c>
    </row>
    <row r="4" ht="18" customHeight="1" s="28">
      <c r="A4" s="44" t="inlineStr">
        <is>
          <t>V16.2</t>
        </is>
      </c>
      <c r="B4" s="44" t="inlineStr">
        <is>
          <t>General Logging</t>
        </is>
      </c>
      <c r="C4" s="44" t="n"/>
      <c r="D4" s="44" t="n"/>
      <c r="E4" s="44" t="n"/>
      <c r="F4" s="44" t="n"/>
      <c r="G4" s="44" t="n"/>
      <c r="H4" s="44" t="n"/>
    </row>
    <row r="5" ht="30" customHeight="1" s="28">
      <c r="A5" s="45" t="inlineStr">
        <is>
          <t>V16.2</t>
        </is>
      </c>
      <c r="B5" s="45" t="inlineStr">
        <is>
          <t>General Logging</t>
        </is>
      </c>
      <c r="C5" s="46" t="inlineStr">
        <is>
          <t>V16.2.1</t>
        </is>
      </c>
      <c r="D5" s="47" t="inlineStr">
        <is>
          <t>Verify that each log entry includes necessary metadata (such as when, where, who, what) that would allow for a detailed investigation of the timeline when an event happens.</t>
        </is>
      </c>
      <c r="E5" s="48" t="n">
        <v>2</v>
      </c>
      <c r="F5" s="56" t="inlineStr">
        <is>
          <t>Compliant</t>
        </is>
      </c>
      <c r="G5" s="47" t="inlineStr">
        <is>
          <t>Structured JSON logs emitted in prod profile via logstash-logback-encoder. Fields: @timestamp, level, logger_name, message, userId, fileId, action. Collected by Filebeat DaemonSet, indexed in Elasticsearch (enderchest-app-YYYY.MM.DD), visualised in Kibana. Sprint 2.</t>
        </is>
      </c>
      <c r="H5" s="47" t="inlineStr">
        <is>
          <t>src/main/resources/logback-spring.xml | helm-chart/templates/elk/filebeat.yaml | helm-chart/templates/elk/elasticsearch.yaml | Deliverables/Phase2/Sprint2/DEPLOYMENT_REPORT.md §5</t>
        </is>
      </c>
    </row>
    <row r="6" ht="30" customHeight="1" s="28">
      <c r="A6" s="50" t="inlineStr">
        <is>
          <t>V16.2</t>
        </is>
      </c>
      <c r="B6" s="50" t="inlineStr">
        <is>
          <t>General Logging</t>
        </is>
      </c>
      <c r="C6" s="51" t="inlineStr">
        <is>
          <t>V16.2.2</t>
        </is>
      </c>
      <c r="D6" s="52"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48" t="n">
        <v>2</v>
      </c>
      <c r="F6" s="49" t="inlineStr">
        <is>
          <t>Compliant</t>
        </is>
      </c>
      <c r="G6" s="52" t="inlineStr">
        <is>
          <t>Security events logged: timestamp (ISO-8601 UTC), userId, action, resourceId, sourceIP, outcome, failureReason (generic).</t>
        </is>
      </c>
      <c r="H6" s="52" t="inlineStr">
        <is>
          <t>src/main/java/pt/isep/desofs/enderchest/config/GlobalSecurityExceptionHandler.java</t>
        </is>
      </c>
    </row>
    <row r="7" ht="30" customHeight="1" s="28">
      <c r="A7" s="45" t="inlineStr">
        <is>
          <t>V16.2</t>
        </is>
      </c>
      <c r="B7" s="45" t="inlineStr">
        <is>
          <t>General Logging</t>
        </is>
      </c>
      <c r="C7" s="46" t="inlineStr">
        <is>
          <t>V16.2.3</t>
        </is>
      </c>
      <c r="D7" s="47" t="inlineStr">
        <is>
          <t>Verify that the application only stores or broadcasts logs to the files and services that are documented in the log inventory.</t>
        </is>
      </c>
      <c r="E7" s="48" t="n">
        <v>2</v>
      </c>
      <c r="F7" s="56" t="inlineStr">
        <is>
          <t>Compliant</t>
        </is>
      </c>
      <c r="G7" s="47" t="inlineStr">
        <is>
          <t>Logs written to stdout only; collected by Filebeat DaemonSet and shipped to Elasticsearch (separate pod). No local log files. Daily index rotation. Sprint 2.</t>
        </is>
      </c>
      <c r="H7" s="47" t="inlineStr">
        <is>
          <t>helm-chart/templates/elk/filebeat.yaml | src/main/resources/logback-spring.xml</t>
        </is>
      </c>
    </row>
    <row r="8" ht="30" customHeight="1" s="28">
      <c r="A8" s="50" t="inlineStr">
        <is>
          <t>V16.2</t>
        </is>
      </c>
      <c r="B8" s="50" t="inlineStr">
        <is>
          <t>General Logging</t>
        </is>
      </c>
      <c r="C8" s="51" t="inlineStr">
        <is>
          <t>V16.2.4</t>
        </is>
      </c>
      <c r="D8" s="52" t="inlineStr">
        <is>
          <t>Verify that logs can be read and correlated by the log processor that is in use, preferably by using a common logging format.</t>
        </is>
      </c>
      <c r="E8" s="48" t="n">
        <v>2</v>
      </c>
      <c r="F8" s="56" t="inlineStr">
        <is>
          <t>Compliant</t>
        </is>
      </c>
      <c r="G8" s="52" t="inlineStr">
        <is>
          <t>JSON structured logging via logstash-logback-encoder enables machine-readable log processing. Filebeat ships to Elasticsearch with keys_under_root=true. Kibana provides query and correlation interface. Sprint 2.</t>
        </is>
      </c>
      <c r="H8" s="52" t="inlineStr">
        <is>
          <t>src/main/resources/logback-spring.xml | helm-chart/templates/elk/filebeat.yaml | helm-chart/templates/elk/kibana.yaml</t>
        </is>
      </c>
    </row>
    <row r="9" ht="30" customHeight="1" s="28">
      <c r="A9" s="45" t="inlineStr">
        <is>
          <t>V16.2</t>
        </is>
      </c>
      <c r="B9" s="45" t="inlineStr">
        <is>
          <t>General Logging</t>
        </is>
      </c>
      <c r="C9" s="46" t="inlineStr">
        <is>
          <t>V16.2.5</t>
        </is>
      </c>
      <c r="D9" s="4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48" t="n">
        <v>2</v>
      </c>
      <c r="F9" s="49" t="inlineStr">
        <is>
          <t>Compliant</t>
        </is>
      </c>
      <c r="G9" s="47" t="inlineStr">
        <is>
          <t>Generic error messages only. Identical message for user-not-found and wrong-password cases.</t>
        </is>
      </c>
      <c r="H9" s="47" t="inlineStr">
        <is>
          <t>src/main/java/pt/isep/desofs/enderchest/config/GlobalSecurityExceptionHandler.java</t>
        </is>
      </c>
    </row>
    <row r="10" ht="18" customHeight="1" s="28">
      <c r="A10" s="44" t="inlineStr">
        <is>
          <t>V16.3</t>
        </is>
      </c>
      <c r="B10" s="44" t="inlineStr">
        <is>
          <t>Security Events</t>
        </is>
      </c>
      <c r="C10" s="44" t="n"/>
      <c r="D10" s="44" t="n"/>
      <c r="E10" s="44" t="n"/>
      <c r="F10" s="44" t="n"/>
      <c r="G10" s="44" t="n"/>
      <c r="H10" s="44" t="n"/>
    </row>
    <row r="11" ht="30" customHeight="1" s="28">
      <c r="A11" s="45" t="inlineStr">
        <is>
          <t>V16.3</t>
        </is>
      </c>
      <c r="B11" s="45" t="inlineStr">
        <is>
          <t>Security Events</t>
        </is>
      </c>
      <c r="C11" s="46" t="inlineStr">
        <is>
          <t>V16.3.1</t>
        </is>
      </c>
      <c r="D11" s="47" t="inlineStr">
        <is>
          <t>Verify that all authentication operations are logged, including successful and unsuccessful attempts. Additional metadata, such as the type of authentication or factors used, should also be collected.</t>
        </is>
      </c>
      <c r="E11" s="48" t="n">
        <v>2</v>
      </c>
      <c r="F11" s="49" t="inlineStr">
        <is>
          <t>Compliant</t>
        </is>
      </c>
      <c r="G11" s="47" t="inlineStr">
        <is>
          <t>Logs forwarded to external ELK/SIEM with append-only access. Not modifiable by application.</t>
        </is>
      </c>
      <c r="H11" s="47" t="inlineStr">
        <is>
          <t>src/main/java/pt/isep/desofs/enderchest/config/GlobalSecurityExceptionHandler.java</t>
        </is>
      </c>
    </row>
    <row r="12" ht="30" customHeight="1" s="28">
      <c r="A12" s="50" t="inlineStr">
        <is>
          <t>V16.3</t>
        </is>
      </c>
      <c r="B12" s="50" t="inlineStr">
        <is>
          <t>Security Events</t>
        </is>
      </c>
      <c r="C12" s="51" t="inlineStr">
        <is>
          <t>V16.3.2</t>
        </is>
      </c>
      <c r="D12" s="52" t="inlineStr">
        <is>
          <t>Verify that failed authorization attempts are logged. For L3, this must include logging all authorization decisions, including logging when sensitive data is accessed (without logging the sensitive data itself).</t>
        </is>
      </c>
      <c r="E12" s="48" t="n">
        <v>2</v>
      </c>
      <c r="F12" s="56" t="inlineStr">
        <is>
          <t>Compliant</t>
        </is>
      </c>
      <c r="G12" s="52" t="inlineStr">
        <is>
          <t>Failed authorization attempts logged by GlobalSecurityExceptionHandler (SecurityAuditLogger WARN level). Exception handler tests (ST) verify no sensitive detail leaks to client while security log captures full context. Sprint 2.</t>
        </is>
      </c>
      <c r="H12" s="52" t="inlineStr">
        <is>
          <t>src/main/java/pt/isep/desofs/enderchest/config/GlobalSecurityExceptionHandler.java | src/test/java/pt/isep/desofs/enderchest/config/GlobalSecurityExceptionHandlerTest.java</t>
        </is>
      </c>
    </row>
    <row r="13" ht="30" customHeight="1" s="28">
      <c r="A13" s="45" t="inlineStr">
        <is>
          <t>V16.3</t>
        </is>
      </c>
      <c r="B13" s="45" t="inlineStr">
        <is>
          <t>Security Events</t>
        </is>
      </c>
      <c r="C13" s="46" t="inlineStr">
        <is>
          <t>V16.3.3</t>
        </is>
      </c>
      <c r="D13" s="47" t="inlineStr">
        <is>
          <t>Verify that the application logs the security events that are defined in the documentation and also logs attempts to bypass the security controls, such as input validation, business logic, and anti-automation.</t>
        </is>
      </c>
      <c r="E13" s="48" t="n">
        <v>2</v>
      </c>
      <c r="F13" s="56" t="inlineStr">
        <is>
          <t>Compliant</t>
        </is>
      </c>
      <c r="G13" s="47" t="inlineStr">
        <is>
          <t>Rate limit violations logged at WARN level with userId, request count, and window details. Path traversal and invalid file type attempts logged via SecurityAuditLogger. ZAP DAST scan validates security control bypass attempts are blocked. Sprint 2.</t>
        </is>
      </c>
      <c r="H13" s="47" t="inlineStr">
        <is>
          <t>src/main/java/pt/isep/desofs/enderchest/config/RateLimiterFilter.java | src/main/java/pt/isep/desofs/enderchest/config/GlobalSecurityExceptionHandler.java | .github/workflows/ci.yml (dast job)</t>
        </is>
      </c>
    </row>
    <row r="14" ht="30" customHeight="1" s="28">
      <c r="A14" s="50" t="inlineStr">
        <is>
          <t>V16.3</t>
        </is>
      </c>
      <c r="B14" s="50" t="inlineStr">
        <is>
          <t>Security Events</t>
        </is>
      </c>
      <c r="C14" s="51" t="inlineStr">
        <is>
          <t>V16.3.4</t>
        </is>
      </c>
      <c r="D14" s="52" t="inlineStr">
        <is>
          <t>Verify that the application logs unexpected errors and security control failures such as backend TLS failures.</t>
        </is>
      </c>
      <c r="E14" s="48" t="n">
        <v>2</v>
      </c>
      <c r="F14" s="49" t="inlineStr">
        <is>
          <t>Not Started</t>
        </is>
      </c>
      <c r="G14" s="52" t="inlineStr">
        <is>
          <t>Log retention policy to be defined in Phase 2.</t>
        </is>
      </c>
      <c r="H14" s="52" t="n"/>
    </row>
    <row r="15" ht="18" customHeight="1" s="28">
      <c r="A15" s="44" t="inlineStr">
        <is>
          <t>V16.4</t>
        </is>
      </c>
      <c r="B15" s="44" t="inlineStr">
        <is>
          <t>Log Protection</t>
        </is>
      </c>
      <c r="C15" s="44" t="n"/>
      <c r="D15" s="44" t="n"/>
      <c r="E15" s="44" t="n"/>
      <c r="F15" s="44" t="n"/>
      <c r="G15" s="44" t="n"/>
      <c r="H15" s="44" t="n"/>
    </row>
    <row r="16" ht="30" customHeight="1" s="28">
      <c r="A16" s="45" t="inlineStr">
        <is>
          <t>V16.4</t>
        </is>
      </c>
      <c r="B16" s="45" t="inlineStr">
        <is>
          <t>Log Protection</t>
        </is>
      </c>
      <c r="C16" s="46" t="inlineStr">
        <is>
          <t>V16.4.1</t>
        </is>
      </c>
      <c r="D16" s="47" t="inlineStr">
        <is>
          <t>Verify that all logging components appropriately encode data to prevent log injection.</t>
        </is>
      </c>
      <c r="E16" s="48" t="n">
        <v>2</v>
      </c>
      <c r="F16" s="49" t="inlineStr">
        <is>
          <t>Not Started</t>
        </is>
      </c>
      <c r="G16" s="47" t="inlineStr">
        <is>
          <t>Alert rules for suspicious activity to be configured in SIEM in Phase 2.</t>
        </is>
      </c>
      <c r="H16" s="47" t="n"/>
    </row>
    <row r="17" ht="30" customHeight="1" s="28">
      <c r="A17" s="50" t="inlineStr">
        <is>
          <t>V16.4</t>
        </is>
      </c>
      <c r="B17" s="50" t="inlineStr">
        <is>
          <t>Log Protection</t>
        </is>
      </c>
      <c r="C17" s="51" t="inlineStr">
        <is>
          <t>V16.4.2</t>
        </is>
      </c>
      <c r="D17" s="52" t="inlineStr">
        <is>
          <t>Verify that logs are protected from unauthorized access and cannot be modified.</t>
        </is>
      </c>
      <c r="E17" s="48" t="n">
        <v>2</v>
      </c>
      <c r="F17" s="49" t="inlineStr">
        <is>
          <t>Not Started</t>
        </is>
      </c>
      <c r="G17" s="52" t="inlineStr">
        <is>
          <t>Incident response plan to be defined in Phase 2.</t>
        </is>
      </c>
      <c r="H17" s="52" t="n"/>
    </row>
    <row r="18" ht="30" customHeight="1" s="28">
      <c r="A18" s="45" t="inlineStr">
        <is>
          <t>V16.4</t>
        </is>
      </c>
      <c r="B18" s="45" t="inlineStr">
        <is>
          <t>Log Protection</t>
        </is>
      </c>
      <c r="C18" s="46" t="inlineStr">
        <is>
          <t>V16.4.3</t>
        </is>
      </c>
      <c r="D18" s="47" t="inlineStr">
        <is>
          <t>Verify that logs are securely transmitted to a logically separate system for analysis, detection, alerting, and escalation. The aim is to ensure that if the application is breached, the logs are not compromised.</t>
        </is>
      </c>
      <c r="E18" s="48" t="n">
        <v>2</v>
      </c>
      <c r="F18" s="56" t="inlineStr">
        <is>
          <t>Compliant</t>
        </is>
      </c>
      <c r="G18" s="47" t="inlineStr">
        <is>
          <t>Logs shipped from app stdout -&gt; Filebeat DaemonSet -&gt; Elasticsearch (separate pod). App cannot modify or delete log indices. ELK stack is logically separate from application tier. Sprint 2.</t>
        </is>
      </c>
      <c r="H18" s="47" t="inlineStr">
        <is>
          <t>helm-chart/templates/elk/ | Deliverables/Phase2/Sprint2/DEPLOYMENT_REPORT.md §5.4 §9.4</t>
        </is>
      </c>
    </row>
    <row r="19" ht="18" customHeight="1" s="28">
      <c r="A19" s="44" t="inlineStr">
        <is>
          <t>V16.5</t>
        </is>
      </c>
      <c r="B19" s="44" t="inlineStr">
        <is>
          <t>Error Handling</t>
        </is>
      </c>
      <c r="C19" s="44" t="n"/>
      <c r="D19" s="44" t="n"/>
      <c r="E19" s="44" t="n"/>
      <c r="F19" s="44" t="n"/>
      <c r="G19" s="44" t="n"/>
      <c r="H19" s="44" t="n"/>
    </row>
    <row r="20" ht="30" customHeight="1" s="28">
      <c r="A20" s="45" t="inlineStr">
        <is>
          <t>V16.5</t>
        </is>
      </c>
      <c r="B20" s="45" t="inlineStr">
        <is>
          <t>Error Handling</t>
        </is>
      </c>
      <c r="C20" s="46" t="inlineStr">
        <is>
          <t>V16.5.1</t>
        </is>
      </c>
      <c r="D20" s="47" t="inlineStr">
        <is>
          <t>Verify that a generic message is returned to the consumer when an unexpected or security-sensitive error occurs, ensuring no exposure of sensitive internal system data such as stack traces, queries, secret keys, and tokens.</t>
        </is>
      </c>
      <c r="E20" s="48" t="n">
        <v>2</v>
      </c>
      <c r="F20" s="49" t="inlineStr">
        <is>
          <t>Not Started</t>
        </is>
      </c>
      <c r="G20" s="47" t="inlineStr">
        <is>
          <t>Vulnerability disclosure policy to be defined.</t>
        </is>
      </c>
      <c r="H20" s="47" t="n"/>
    </row>
    <row r="21" ht="30" customHeight="1" s="28">
      <c r="A21" s="50" t="inlineStr">
        <is>
          <t>V16.5</t>
        </is>
      </c>
      <c r="B21" s="50" t="inlineStr">
        <is>
          <t>Error Handling</t>
        </is>
      </c>
      <c r="C21" s="51" t="inlineStr">
        <is>
          <t>V16.5.2</t>
        </is>
      </c>
      <c r="D21" s="52" t="inlineStr">
        <is>
          <t>Verify that the application continues to operate securely when external resource access fails, for example, by using patterns such as circuit breakers or graceful degradation.</t>
        </is>
      </c>
      <c r="E21" s="48" t="n">
        <v>2</v>
      </c>
      <c r="F21" s="49" t="inlineStr">
        <is>
          <t>Not Started</t>
        </is>
      </c>
      <c r="G21" s="52" t="inlineStr">
        <is>
          <t>Security patch management process to be defined.</t>
        </is>
      </c>
      <c r="H21" s="52" t="n"/>
    </row>
    <row r="22" ht="30" customHeight="1" s="28">
      <c r="A22" s="45" t="inlineStr">
        <is>
          <t>V16.5</t>
        </is>
      </c>
      <c r="B22" s="45" t="inlineStr">
        <is>
          <t>Error Handling</t>
        </is>
      </c>
      <c r="C22" s="46" t="inlineStr">
        <is>
          <t>V16.5.3</t>
        </is>
      </c>
      <c r="D22" s="47" t="inlineStr">
        <is>
          <t>Verify that the application fails gracefully and securely, including when an exception occurs, preventing fail-open conditions such as processing a transaction despite errors resulting from validation logic.</t>
        </is>
      </c>
      <c r="E22" s="48" t="n">
        <v>2</v>
      </c>
      <c r="F22" s="49" t="inlineStr">
        <is>
          <t>Not Started</t>
        </is>
      </c>
      <c r="G22" s="47" t="inlineStr">
        <is>
          <t>Security incident response testing to be performed in Phase 2.</t>
        </is>
      </c>
      <c r="H22" s="47" t="n"/>
    </row>
    <row r="23" ht="30" customHeight="1" s="28">
      <c r="A23" s="50" t="inlineStr">
        <is>
          <t>V16.5</t>
        </is>
      </c>
      <c r="B23" s="50" t="inlineStr">
        <is>
          <t>Error Handling</t>
        </is>
      </c>
      <c r="C23" s="51" t="inlineStr">
        <is>
          <t>V16.5.4</t>
        </is>
      </c>
      <c r="D23" s="52"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54" t="n">
        <v>3</v>
      </c>
      <c r="F23" s="49" t="inlineStr">
        <is>
          <t>Not Started</t>
        </is>
      </c>
      <c r="G23" s="52" t="inlineStr">
        <is>
          <t>Bug bounty / responsible disclosure program to be evaluated.</t>
        </is>
      </c>
      <c r="H23" s="52" t="n"/>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Not Applicable</t>
        </is>
      </c>
      <c r="G3" s="47" t="inlineStr">
        <is>
          <t>No WebRTC used in the system.</t>
        </is>
      </c>
      <c r="H3" s="47" t="n"/>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Not Applicable</t>
        </is>
      </c>
      <c r="G4" s="52" t="inlineStr">
        <is>
          <t>No WebRTC used in the system.</t>
        </is>
      </c>
      <c r="H4" s="52" t="n"/>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Not Applicable</t>
        </is>
      </c>
      <c r="G6" s="47" t="inlineStr">
        <is>
          <t>No WebRTC used in the system.</t>
        </is>
      </c>
      <c r="H6" s="47" t="n"/>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Not Applicable</t>
        </is>
      </c>
      <c r="G7" s="52" t="inlineStr">
        <is>
          <t>No WebRTC used in the system.</t>
        </is>
      </c>
      <c r="H7" s="52" t="n"/>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Not Applicable</t>
        </is>
      </c>
      <c r="G8" s="47" t="inlineStr">
        <is>
          <t>No WebRTC used in the system.</t>
        </is>
      </c>
      <c r="H8" s="47" t="n"/>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Not Applicable</t>
        </is>
      </c>
      <c r="G9" s="52" t="inlineStr">
        <is>
          <t>No WebRTC used in the system.</t>
        </is>
      </c>
      <c r="H9" s="52" t="n"/>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Not Applicable</t>
        </is>
      </c>
      <c r="G10" s="47" t="inlineStr">
        <is>
          <t>No WebRTC used in the system.</t>
        </is>
      </c>
      <c r="H10" s="47" t="n"/>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Not Applicable</t>
        </is>
      </c>
      <c r="G11" s="52" t="inlineStr">
        <is>
          <t>No WebRTC used in the system.</t>
        </is>
      </c>
      <c r="H11" s="52" t="n"/>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Not Applicable</t>
        </is>
      </c>
      <c r="G12" s="47" t="inlineStr">
        <is>
          <t>No WebRTC used in the system.</t>
        </is>
      </c>
      <c r="H12" s="47" t="n"/>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Not Applicable</t>
        </is>
      </c>
      <c r="G13" s="52" t="inlineStr">
        <is>
          <t>No WebRTC used in the system.</t>
        </is>
      </c>
      <c r="H13" s="52" t="n"/>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Not Applicable</t>
        </is>
      </c>
      <c r="G15" s="47" t="inlineStr">
        <is>
          <t>No WebRTC used in the system.</t>
        </is>
      </c>
      <c r="H15" s="47" t="n"/>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Not Applicable</t>
        </is>
      </c>
      <c r="G16" s="52" t="inlineStr">
        <is>
          <t>No WebRTC used in the system.</t>
        </is>
      </c>
      <c r="H16" s="52"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pt-PT</dc:language>
  <dcterms:created xmlns:dcterms="http://purl.org/dc/terms/" xmlns:xsi="http://www.w3.org/2001/XMLSchema-instance" xsi:type="dcterms:W3CDTF">2026-03-04T10:14:28Z</dcterms:created>
  <dcterms:modified xmlns:dcterms="http://purl.org/dc/terms/" xmlns:xsi="http://www.w3.org/2001/XMLSchema-instance" xsi:type="dcterms:W3CDTF">2026-06-16T18:42:36Z</dcterms:modified>
  <cp:revision>3</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