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mmary" sheetId="1" state="visible" r:id="rId1"/>
    <sheet xmlns:r="http://schemas.openxmlformats.org/officeDocument/2006/relationships" name="V1 - Encoding and Sanitization" sheetId="2" state="visible" r:id="rId2"/>
    <sheet xmlns:r="http://schemas.openxmlformats.org/officeDocument/2006/relationships" name="V2 - Validation and Business Lo" sheetId="3" state="visible" r:id="rId3"/>
    <sheet xmlns:r="http://schemas.openxmlformats.org/officeDocument/2006/relationships" name="V3 - Web Frontend Security" sheetId="4" state="visible" r:id="rId4"/>
    <sheet xmlns:r="http://schemas.openxmlformats.org/officeDocument/2006/relationships" name="V4 - API and Web Service" sheetId="5" state="visible" r:id="rId5"/>
    <sheet xmlns:r="http://schemas.openxmlformats.org/officeDocument/2006/relationships" name="V5 - File Handling" sheetId="6" state="visible" r:id="rId6"/>
    <sheet xmlns:r="http://schemas.openxmlformats.org/officeDocument/2006/relationships" name="V6 - Authentication" sheetId="7" state="visible" r:id="rId7"/>
    <sheet xmlns:r="http://schemas.openxmlformats.org/officeDocument/2006/relationships" name="V7 - Session Management" sheetId="8" state="visible" r:id="rId8"/>
    <sheet xmlns:r="http://schemas.openxmlformats.org/officeDocument/2006/relationships" name="V8 - Authorization" sheetId="9" state="visible" r:id="rId9"/>
    <sheet xmlns:r="http://schemas.openxmlformats.org/officeDocument/2006/relationships" name="V9 - Self-contained Tokens" sheetId="10" state="visible" r:id="rId10"/>
    <sheet xmlns:r="http://schemas.openxmlformats.org/officeDocument/2006/relationships" name="V10 - OAuth and OIDC" sheetId="11" state="visible" r:id="rId11"/>
    <sheet xmlns:r="http://schemas.openxmlformats.org/officeDocument/2006/relationships" name="V11 - Cryptography" sheetId="12" state="visible" r:id="rId12"/>
    <sheet xmlns:r="http://schemas.openxmlformats.org/officeDocument/2006/relationships" name="V12 - Secure Communication" sheetId="13" state="visible" r:id="rId13"/>
    <sheet xmlns:r="http://schemas.openxmlformats.org/officeDocument/2006/relationships" name="V13 - Configuration" sheetId="14" state="visible" r:id="rId14"/>
    <sheet xmlns:r="http://schemas.openxmlformats.org/officeDocument/2006/relationships" name="V14 - Data Protection" sheetId="15" state="visible" r:id="rId15"/>
    <sheet xmlns:r="http://schemas.openxmlformats.org/officeDocument/2006/relationships" name="V15 - Secure Coding and Archite" sheetId="16" state="visible" r:id="rId16"/>
    <sheet xmlns:r="http://schemas.openxmlformats.org/officeDocument/2006/relationships" name="V16 - Security Logging and Erro" sheetId="17" state="visible" r:id="rId17"/>
    <sheet xmlns:r="http://schemas.openxmlformats.org/officeDocument/2006/relationships" name="V17 - WebRTC" sheetId="18" state="visible" r:id="rId18"/>
  </sheets>
  <definedNames/>
  <calcPr calcId="124519" fullCalcOnLoad="1" refMode="A1" iterate="0" iterateCount="100" iterateDelta="0.0001"/>
</workbook>
</file>

<file path=xl/styles.xml><?xml version="1.0" encoding="utf-8"?>
<styleSheet xmlns="http://schemas.openxmlformats.org/spreadsheetml/2006/main">
  <numFmts count="0"/>
  <fonts count="14">
    <font>
      <name val="Calibri"/>
      <charset val="1"/>
      <family val="2"/>
      <color rgb="FF000000"/>
      <sz val="11"/>
    </font>
    <font>
      <name val="Arial"/>
      <family val="0"/>
      <sz val="10"/>
    </font>
    <font>
      <name val="Arial"/>
      <family val="0"/>
      <sz val="10"/>
    </font>
    <font>
      <name val="Arial"/>
      <family val="0"/>
      <sz val="10"/>
    </font>
    <font>
      <name val="Cambria"/>
      <charset val="1"/>
      <family val="0"/>
      <b val="1"/>
      <color rgb="FFFFFFFF"/>
      <sz val="16"/>
    </font>
    <font>
      <name val="Cambria"/>
      <charset val="1"/>
      <family val="0"/>
      <i val="1"/>
      <color rgb="FF595959"/>
      <sz val="10"/>
    </font>
    <font>
      <name val="Cambria"/>
      <charset val="1"/>
      <family val="0"/>
      <b val="1"/>
      <sz val="10"/>
    </font>
    <font>
      <name val="Cambria"/>
      <charset val="1"/>
      <family val="0"/>
      <b val="1"/>
      <sz val="9"/>
    </font>
    <font>
      <name val="Cambria"/>
      <charset val="1"/>
      <family val="0"/>
      <b val="1"/>
      <color rgb="FFFFFFFF"/>
      <sz val="9"/>
    </font>
    <font>
      <name val="Cambria"/>
      <charset val="1"/>
      <family val="0"/>
      <sz val="10"/>
    </font>
    <font>
      <name val="Cambria"/>
      <charset val="1"/>
      <family val="0"/>
      <b val="1"/>
      <color rgb="FFFFFFFF"/>
      <sz val="11"/>
    </font>
    <font>
      <name val="Cambria"/>
      <charset val="1"/>
      <family val="0"/>
      <b val="1"/>
      <color rgb="FFFFFFFF"/>
      <sz val="10"/>
    </font>
    <font>
      <name val="Arial"/>
      <family val="2"/>
      <sz val="10"/>
    </font>
    <font>
      <name val="Cambria"/>
      <charset val="1"/>
      <family val="0"/>
      <b val="1"/>
      <color rgb="FF1F3864"/>
      <sz val="10"/>
    </font>
  </fonts>
  <fills count="13">
    <fill>
      <patternFill/>
    </fill>
    <fill>
      <patternFill patternType="gray125"/>
    </fill>
    <fill>
      <patternFill patternType="solid">
        <fgColor rgb="FF1F3864"/>
        <bgColor rgb="FF333333"/>
      </patternFill>
    </fill>
    <fill>
      <patternFill patternType="solid">
        <fgColor rgb="FFFFFFFF"/>
        <bgColor rgb="FFF7FBFF"/>
      </patternFill>
    </fill>
    <fill>
      <patternFill patternType="solid">
        <fgColor rgb="FFF7FBFF"/>
        <bgColor rgb="FFFFFFFF"/>
      </patternFill>
    </fill>
    <fill>
      <patternFill patternType="solid">
        <fgColor rgb="FFD6E4F0"/>
        <bgColor rgb="FFC6EFCE"/>
      </patternFill>
    </fill>
    <fill>
      <patternFill patternType="solid">
        <fgColor rgb="FFFFEB9C"/>
        <bgColor rgb="FFF2F2F2"/>
      </patternFill>
    </fill>
    <fill>
      <patternFill patternType="solid">
        <fgColor rgb="FFF2F2F2"/>
        <bgColor rgb="FFF7FBFF"/>
      </patternFill>
    </fill>
    <fill>
      <patternFill patternType="solid">
        <fgColor rgb="FFC6EFCE"/>
        <bgColor rgb="FFD6E4F0"/>
      </patternFill>
    </fill>
    <fill>
      <patternFill patternType="solid">
        <fgColor rgb="FFFABF8F"/>
        <bgColor rgb="FFFFEB9C"/>
      </patternFill>
    </fill>
    <fill>
      <patternFill patternType="solid">
        <fgColor rgb="00FFC7CE"/>
      </patternFill>
    </fill>
    <fill>
      <patternFill patternType="solid">
        <fgColor rgb="00C6EFCE"/>
      </patternFill>
    </fill>
    <fill>
      <patternFill patternType="solid">
        <fgColor rgb="00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center" vertical="center"/>
    </xf>
    <xf numFmtId="0" fontId="6" fillId="0" borderId="0" applyAlignment="1" pivotButton="0" quotePrefix="0" xfId="0">
      <alignment horizontal="general" vertical="bottom"/>
    </xf>
    <xf numFmtId="0" fontId="7" fillId="0" borderId="0" applyAlignment="1" pivotButton="0" quotePrefix="0" xfId="0">
      <alignment horizontal="center" vertical="center"/>
    </xf>
    <xf numFmtId="0" fontId="8" fillId="2" borderId="1" applyAlignment="1" pivotButton="0" quotePrefix="0" xfId="0">
      <alignment horizontal="center" vertical="center" wrapText="1"/>
    </xf>
    <xf numFmtId="0" fontId="9" fillId="3" borderId="1" applyAlignment="1" pivotButton="0" quotePrefix="0" xfId="0">
      <alignment horizontal="left" vertical="center"/>
    </xf>
    <xf numFmtId="0" fontId="9" fillId="3" borderId="1" applyAlignment="1" pivotButton="0" quotePrefix="0" xfId="0">
      <alignment horizontal="center" vertical="center"/>
    </xf>
    <xf numFmtId="9" fontId="9" fillId="3" borderId="1" applyAlignment="1" pivotButton="0" quotePrefix="0" xfId="0">
      <alignment horizontal="center" vertical="center"/>
    </xf>
    <xf numFmtId="0" fontId="9" fillId="4" borderId="1" applyAlignment="1" pivotButton="0" quotePrefix="0" xfId="0">
      <alignment horizontal="left" vertical="center"/>
    </xf>
    <xf numFmtId="0" fontId="9" fillId="4" borderId="1" applyAlignment="1" pivotButton="0" quotePrefix="0" xfId="0">
      <alignment horizontal="center" vertical="center"/>
    </xf>
    <xf numFmtId="9" fontId="9" fillId="4" borderId="1" applyAlignment="1" pivotButton="0" quotePrefix="0" xfId="0">
      <alignment horizontal="center" vertical="center"/>
    </xf>
    <xf numFmtId="0" fontId="10" fillId="2" borderId="1" applyAlignment="1" pivotButton="0" quotePrefix="0" xfId="0">
      <alignment horizontal="general" vertical="bottom"/>
    </xf>
    <xf numFmtId="0" fontId="11" fillId="2" borderId="1" applyAlignment="1" pivotButton="0" quotePrefix="0" xfId="0">
      <alignment horizontal="center" vertical="center"/>
    </xf>
    <xf numFmtId="9" fontId="11" fillId="2" borderId="1" applyAlignment="1" pivotButton="0" quotePrefix="0" xfId="0">
      <alignment horizontal="center" vertical="center"/>
    </xf>
    <xf numFmtId="0" fontId="11" fillId="2" borderId="1" applyAlignment="1" pivotButton="0" quotePrefix="0" xfId="0">
      <alignment horizontal="center" vertical="center" wrapText="1"/>
    </xf>
    <xf numFmtId="0" fontId="13" fillId="5" borderId="1" applyAlignment="1" pivotButton="0" quotePrefix="0" xfId="0">
      <alignment horizontal="left" vertical="center"/>
    </xf>
    <xf numFmtId="0" fontId="0" fillId="3" borderId="1" applyAlignment="1" pivotButton="0" quotePrefix="0" xfId="0">
      <alignment horizontal="general" vertical="bottom"/>
    </xf>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6" fillId="6" borderId="1" applyAlignment="1" pivotButton="0" quotePrefix="0" xfId="0">
      <alignment horizontal="center" vertical="top"/>
    </xf>
    <xf numFmtId="0" fontId="0" fillId="7" borderId="1" applyAlignment="1" pivotButton="0" quotePrefix="0" xfId="0">
      <alignment horizontal="center" vertical="top"/>
    </xf>
    <xf numFmtId="0" fontId="0" fillId="4" borderId="1" applyAlignment="1" pivotButton="0" quotePrefix="0" xfId="0">
      <alignment horizontal="general" vertical="bottom"/>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6" fillId="8" borderId="1" applyAlignment="1" pivotButton="0" quotePrefix="0" xfId="0">
      <alignment horizontal="center" vertical="top"/>
    </xf>
    <xf numFmtId="0" fontId="6" fillId="9" borderId="1" applyAlignment="1" pivotButton="0" quotePrefix="0" xfId="0">
      <alignment horizontal="center" vertical="top"/>
    </xf>
    <xf numFmtId="0" fontId="0" fillId="10" borderId="1" applyAlignment="1" pivotButton="0" quotePrefix="0" xfId="0">
      <alignment horizontal="center" vertical="top"/>
    </xf>
    <xf numFmtId="0" fontId="0" fillId="11" borderId="1" applyAlignment="1" pivotButton="0" quotePrefix="0" xfId="0">
      <alignment horizontal="center" vertical="top"/>
    </xf>
    <xf numFmtId="0" fontId="0" fillId="12" borderId="1" applyAlignment="1" pivotButton="0" quotePrefix="0" xfId="0">
      <alignment horizontal="center" vertical="top"/>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dxf/>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plotArea>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General</formatCode>
                <ptCount val="16"/>
                <pt idx="0">
                  <v>0</v>
                </pt>
                <pt idx="1">
                  <v>0</v>
                </pt>
                <pt idx="2">
                  <v>0</v>
                </pt>
                <pt idx="3">
                  <v>0</v>
                </pt>
                <pt idx="4">
                  <v>0</v>
                </pt>
                <pt idx="5">
                  <v>0</v>
                </pt>
                <pt idx="6">
                  <v>0</v>
                </pt>
                <pt idx="7">
                  <v>0</v>
                </pt>
                <pt idx="9">
                  <v>0</v>
                </pt>
                <pt idx="10">
                  <v>0</v>
                </pt>
                <pt idx="11">
                  <v>0</v>
                </pt>
                <pt idx="12">
                  <v>0</v>
                </pt>
                <pt idx="13">
                  <v>0</v>
                </pt>
                <pt idx="14">
                  <v>0</v>
                </pt>
                <pt idx="15">
                  <v>0</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dLblPos val="outEnd"/>
            <showLegendKey val="0"/>
            <showVal val="0"/>
            <showCatName val="0"/>
            <showSerName val="0"/>
            <showPercent val="0"/>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General</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gapWidth val="100"/>
        <overlap val="0"/>
        <axId val="28005530"/>
        <axId val="73737639"/>
      </barChart>
      <catAx>
        <axId val="28005530"/>
        <scaling>
          <orientation val="minMax"/>
        </scaling>
        <delete val="0"/>
        <axPos val="b"/>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crossAx val="73737639"/>
        <crosses val="autoZero"/>
        <auto val="1"/>
        <lblAlgn val="ctr"/>
        <lblOffset val="100"/>
        <noMultiLvlLbl val="0"/>
      </catAx>
      <valAx>
        <axId val="73737639"/>
        <scaling>
          <orientation val="minMax"/>
        </scaling>
        <delete val="0"/>
        <axPos val="l"/>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crossAx val="28005530"/>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a:defRPr sz="1000" b="0" strike="noStrike" spc="-1">
              <a:latin typeface="Arial"/>
            </a:defRPr>
          </a:pPr>
          <a:r>
            <a:t>None</a:t>
          </a:r>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editAs="oneCell">
    <from>
      <col>0</col>
      <colOff>38880</colOff>
      <row>24</row>
      <rowOff>10440</rowOff>
    </from>
    <to>
      <col>12</col>
      <colOff>857520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outlinePr summaryBelow="1" summaryRight="1"/>
    <pageSetUpPr fitToPage="0"/>
  </sheetPr>
  <dimension ref="A1:P23"/>
  <sheetViews>
    <sheetView showFormulas="0" showGridLines="0" showRowColHeaders="1" showZeros="1" rightToLeft="0" tabSelected="1" showOutlineSymbols="1" defaultGridColor="1" view="normal" topLeftCell="A1" colorId="64" zoomScale="75" zoomScaleNormal="75" zoomScalePageLayoutView="100" workbookViewId="0">
      <selection pane="topLeft" activeCell="S40" activeCellId="0" sqref="S40"/>
    </sheetView>
  </sheetViews>
  <sheetFormatPr baseColWidth="8" defaultColWidth="8.54296875" defaultRowHeight="15" zeroHeight="0" outlineLevelRow="0"/>
  <cols>
    <col width="34" customWidth="1" style="27" min="1" max="1"/>
    <col width="11" customWidth="1" style="27" min="2" max="13"/>
  </cols>
  <sheetData>
    <row r="1" ht="36" customHeight="1" s="28">
      <c r="A1" s="29" t="inlineStr">
        <is>
          <t>OWASP ASVS 5.0 – Compliance Tracker</t>
        </is>
      </c>
    </row>
    <row r="2" ht="20" customHeight="1" s="28">
      <c r="A2" s="30" t="n"/>
    </row>
    <row r="3" ht="18" customHeight="1" s="28">
      <c r="A3" s="31" t="n"/>
      <c r="C3" s="32" t="n"/>
      <c r="E3" s="32" t="n"/>
      <c r="G3" s="32" t="n"/>
      <c r="I3" s="32" t="n"/>
      <c r="K3" s="32" t="n"/>
      <c r="M3" s="32" t="n"/>
      <c r="O3" s="32" t="n"/>
    </row>
    <row r="5" ht="32" customHeight="1" s="28">
      <c r="A5" s="33" t="inlineStr">
        <is>
          <t>Chapter</t>
        </is>
      </c>
      <c r="B5" s="33" t="inlineStr">
        <is>
          <t>Total
Reqs</t>
        </is>
      </c>
      <c r="C5" s="33" t="inlineStr">
        <is>
          <t>L1
Total</t>
        </is>
      </c>
      <c r="D5" s="33" t="inlineStr">
        <is>
          <t>L1
Compliant</t>
        </is>
      </c>
      <c r="E5" s="33" t="inlineStr">
        <is>
          <t>L1
%</t>
        </is>
      </c>
      <c r="F5" s="33" t="inlineStr">
        <is>
          <t>L2
Total</t>
        </is>
      </c>
      <c r="G5" s="33" t="inlineStr">
        <is>
          <t>L2
Compliant</t>
        </is>
      </c>
      <c r="H5" s="33" t="inlineStr">
        <is>
          <t>L2
%</t>
        </is>
      </c>
      <c r="I5" s="33" t="inlineStr">
        <is>
          <t>L3
Total</t>
        </is>
      </c>
      <c r="J5" s="33" t="inlineStr">
        <is>
          <t>L3
Compliant</t>
        </is>
      </c>
      <c r="K5" s="33" t="inlineStr">
        <is>
          <t>L3
%</t>
        </is>
      </c>
      <c r="L5" s="33" t="inlineStr">
        <is>
          <t>Overall
Compliant</t>
        </is>
      </c>
      <c r="M5" s="33" t="inlineStr">
        <is>
          <t>Overall
%</t>
        </is>
      </c>
    </row>
    <row r="6" ht="18" customHeight="1" s="28">
      <c r="A6" s="34" t="inlineStr">
        <is>
          <t>V1 – Encoding and Sanitization</t>
        </is>
      </c>
      <c r="B6" s="35" t="n">
        <v>30</v>
      </c>
      <c r="C6" s="35" t="n">
        <v>8</v>
      </c>
      <c r="D6" s="35">
        <f>COUNTIFS('V1 - Encoding and Sanitization'!$F$2:$F$36,"Compliant",'V1 - Encoding and Sanitization'!$E$2:$E$36,1)</f>
        <v/>
      </c>
      <c r="E6" s="36">
        <f>IF(C6=0,"",D6/C6)</f>
        <v/>
      </c>
      <c r="F6" s="35" t="n">
        <v>19</v>
      </c>
      <c r="G6" s="35">
        <f>COUNTIFS('V1 - Encoding and Sanitization'!$F$2:$F$36,"Compliant",'V1 - Encoding and Sanitization'!$E$2:$E$36,2)</f>
        <v/>
      </c>
      <c r="H6" s="36">
        <f>IF(F6=0,"",G6/F6)</f>
        <v/>
      </c>
      <c r="I6" s="35" t="n">
        <v>3</v>
      </c>
      <c r="J6" s="35">
        <f>COUNTIFS('V1 - Encoding and Sanitization'!$F$2:$F$36,"Compliant",'V1 - Encoding and Sanitization'!$E$2:$E$36,3)</f>
        <v/>
      </c>
      <c r="K6" s="36">
        <f>IF(I6=0,"",J6/I6)</f>
        <v/>
      </c>
      <c r="L6" s="35">
        <f>COUNTIF('V1 - Encoding and Sanitization'!$F$2:$F$36,"Compliant")</f>
        <v/>
      </c>
      <c r="M6" s="36">
        <f>IF(B6=0,"",L6/B6)</f>
        <v/>
      </c>
    </row>
    <row r="7" ht="18" customHeight="1" s="28">
      <c r="A7" s="37" t="inlineStr">
        <is>
          <t>V2 – Validation and Business Logic</t>
        </is>
      </c>
      <c r="B7" s="38" t="n">
        <v>13</v>
      </c>
      <c r="C7" s="38" t="n">
        <v>4</v>
      </c>
      <c r="D7" s="38">
        <f>COUNTIFS('V2 - Validation and Business Lo'!$F$2:$F$18,"Compliant",'V2 - Validation and Business Lo'!$E$2:$E$18,1)</f>
        <v/>
      </c>
      <c r="E7" s="39">
        <f>IF(C7=0,"",D7/C7)</f>
        <v/>
      </c>
      <c r="F7" s="38" t="n">
        <v>7</v>
      </c>
      <c r="G7" s="38">
        <f>COUNTIFS('V2 - Validation and Business Lo'!$F$2:$F$18,"Compliant",'V2 - Validation and Business Lo'!$E$2:$E$18,2)</f>
        <v/>
      </c>
      <c r="H7" s="39">
        <f>IF(F7=0,"",G7/F7)</f>
        <v/>
      </c>
      <c r="I7" s="38" t="n">
        <v>2</v>
      </c>
      <c r="J7" s="38">
        <f>COUNTIFS('V2 - Validation and Business Lo'!$F$2:$F$18,"Compliant",'V2 - Validation and Business Lo'!$E$2:$E$18,3)</f>
        <v/>
      </c>
      <c r="K7" s="39">
        <f>IF(I7=0,"",J7/I7)</f>
        <v/>
      </c>
      <c r="L7" s="38">
        <f>COUNTIF('V2 - Validation and Business Lo'!$F$2:$F$18,"Compliant")</f>
        <v/>
      </c>
      <c r="M7" s="39">
        <f>IF(B7=0,"",L7/B7)</f>
        <v/>
      </c>
    </row>
    <row r="8" ht="18" customHeight="1" s="28">
      <c r="A8" s="34" t="inlineStr">
        <is>
          <t>V3 – Web Frontend Security</t>
        </is>
      </c>
      <c r="B8" s="35" t="n">
        <v>31</v>
      </c>
      <c r="C8" s="35" t="n">
        <v>8</v>
      </c>
      <c r="D8" s="35">
        <f>COUNTIFS('V3 - Web Frontend Security'!$F$2:$F$39,"Compliant",'V3 - Web Frontend Security'!$E$2:$E$39,1)</f>
        <v/>
      </c>
      <c r="E8" s="36">
        <f>IF(C8=0,"",D8/C8)</f>
        <v/>
      </c>
      <c r="F8" s="35" t="n">
        <v>11</v>
      </c>
      <c r="G8" s="35">
        <f>COUNTIFS('V3 - Web Frontend Security'!$F$2:$F$39,"Compliant",'V3 - Web Frontend Security'!$E$2:$E$39,2)</f>
        <v/>
      </c>
      <c r="H8" s="36">
        <f>IF(F8=0,"",G8/F8)</f>
        <v/>
      </c>
      <c r="I8" s="35" t="n">
        <v>12</v>
      </c>
      <c r="J8" s="35">
        <f>COUNTIFS('V3 - Web Frontend Security'!$F$2:$F$39,"Compliant",'V3 - Web Frontend Security'!$E$2:$E$39,3)</f>
        <v/>
      </c>
      <c r="K8" s="36">
        <f>IF(I8=0,"",J8/I8)</f>
        <v/>
      </c>
      <c r="L8" s="35">
        <f>COUNTIF('V3 - Web Frontend Security'!$F$2:$F$39,"Compliant")</f>
        <v/>
      </c>
      <c r="M8" s="36">
        <f>IF(B8=0,"",L8/B8)</f>
        <v/>
      </c>
    </row>
    <row r="9" ht="18" customHeight="1" s="28">
      <c r="A9" s="37" t="inlineStr">
        <is>
          <t>V4 – API and Web Service</t>
        </is>
      </c>
      <c r="B9" s="38" t="n">
        <v>16</v>
      </c>
      <c r="C9" s="38" t="n">
        <v>2</v>
      </c>
      <c r="D9" s="38">
        <f>COUNTIFS('V4 - API and Web Service'!$F$2:$F$21,"Compliant",'V4 - API and Web Service'!$E$2:$E$21,1)</f>
        <v/>
      </c>
      <c r="E9" s="39">
        <f>IF(C9=0,"",D9/C9)</f>
        <v/>
      </c>
      <c r="F9" s="38" t="n">
        <v>8</v>
      </c>
      <c r="G9" s="38">
        <f>COUNTIFS('V4 - API and Web Service'!$F$2:$F$21,"Compliant",'V4 - API and Web Service'!$E$2:$E$21,2)</f>
        <v/>
      </c>
      <c r="H9" s="39">
        <f>IF(F9=0,"",G9/F9)</f>
        <v/>
      </c>
      <c r="I9" s="38" t="n">
        <v>6</v>
      </c>
      <c r="J9" s="38">
        <f>COUNTIFS('V4 - API and Web Service'!$F$2:$F$21,"Compliant",'V4 - API and Web Service'!$E$2:$E$21,3)</f>
        <v/>
      </c>
      <c r="K9" s="39">
        <f>IF(I9=0,"",J9/I9)</f>
        <v/>
      </c>
      <c r="L9" s="38">
        <f>COUNTIF('V4 - API and Web Service'!$F$2:$F$21,"Compliant")</f>
        <v/>
      </c>
      <c r="M9" s="39">
        <f>IF(B9=0,"",L9/B9)</f>
        <v/>
      </c>
    </row>
    <row r="10" ht="18" customHeight="1" s="28">
      <c r="A10" s="34" t="inlineStr">
        <is>
          <t>V5 – File Handling</t>
        </is>
      </c>
      <c r="B10" s="35" t="n">
        <v>13</v>
      </c>
      <c r="C10" s="35" t="n">
        <v>4</v>
      </c>
      <c r="D10" s="35">
        <f>COUNTIFS('V5 - File Handling'!$F$2:$F$18,"Compliant",'V5 - File Handling'!$E$2:$E$18,1)</f>
        <v/>
      </c>
      <c r="E10" s="36">
        <f>IF(C10=0,"",D10/C10)</f>
        <v/>
      </c>
      <c r="F10" s="35" t="n">
        <v>5</v>
      </c>
      <c r="G10" s="35">
        <f>COUNTIFS('V5 - File Handling'!$F$2:$F$18,"Compliant",'V5 - File Handling'!$E$2:$E$18,2)</f>
        <v/>
      </c>
      <c r="H10" s="36">
        <f>IF(F10=0,"",G10/F10)</f>
        <v/>
      </c>
      <c r="I10" s="35" t="n">
        <v>4</v>
      </c>
      <c r="J10" s="35">
        <f>COUNTIFS('V5 - File Handling'!$F$2:$F$18,"Compliant",'V5 - File Handling'!$E$2:$E$18,3)</f>
        <v/>
      </c>
      <c r="K10" s="36">
        <f>IF(I10=0,"",J10/I10)</f>
        <v/>
      </c>
      <c r="L10" s="35">
        <f>COUNTIF('V5 - File Handling'!$F$2:$F$18,"Compliant")</f>
        <v/>
      </c>
      <c r="M10" s="36">
        <f>IF(B10=0,"",L10/B10)</f>
        <v/>
      </c>
    </row>
    <row r="11" ht="18" customHeight="1" s="28">
      <c r="A11" s="37" t="inlineStr">
        <is>
          <t>V6 – Authentication</t>
        </is>
      </c>
      <c r="B11" s="38" t="n">
        <v>47</v>
      </c>
      <c r="C11" s="38" t="n">
        <v>13</v>
      </c>
      <c r="D11" s="38">
        <f>COUNTIFS('V6 - Authentication'!$F$2:$F$56,"Compliant",'V6 - Authentication'!$E$2:$E$56,1)</f>
        <v/>
      </c>
      <c r="E11" s="39">
        <f>IF(C11=0,"",D11/C11)</f>
        <v/>
      </c>
      <c r="F11" s="38" t="n">
        <v>22</v>
      </c>
      <c r="G11" s="38">
        <f>COUNTIFS('V6 - Authentication'!$F$2:$F$56,"Compliant",'V6 - Authentication'!$E$2:$E$56,2)</f>
        <v/>
      </c>
      <c r="H11" s="39">
        <f>IF(F11=0,"",G11/F11)</f>
        <v/>
      </c>
      <c r="I11" s="38" t="n">
        <v>12</v>
      </c>
      <c r="J11" s="38">
        <f>COUNTIFS('V6 - Authentication'!$F$2:$F$56,"Compliant",'V6 - Authentication'!$E$2:$E$56,3)</f>
        <v/>
      </c>
      <c r="K11" s="39">
        <f>IF(I11=0,"",J11/I11)</f>
        <v/>
      </c>
      <c r="L11" s="38">
        <f>COUNTIF('V6 - Authentication'!$F$2:$F$56,"Compliant")</f>
        <v/>
      </c>
      <c r="M11" s="39">
        <f>IF(B11=0,"",L11/B11)</f>
        <v/>
      </c>
    </row>
    <row r="12" ht="18" customHeight="1" s="28">
      <c r="A12" s="34" t="inlineStr">
        <is>
          <t>V7 – Session Management</t>
        </is>
      </c>
      <c r="B12" s="35" t="n">
        <v>19</v>
      </c>
      <c r="C12" s="35" t="n">
        <v>6</v>
      </c>
      <c r="D12" s="35">
        <f>COUNTIFS('V7 - Session Management'!$F$2:$F$26,"Compliant",'V7 - Session Management'!$E$2:$E$26,1)</f>
        <v/>
      </c>
      <c r="E12" s="36">
        <f>IF(C12=0,"",D12/C12)</f>
        <v/>
      </c>
      <c r="F12" s="35" t="n">
        <v>12</v>
      </c>
      <c r="G12" s="35">
        <f>COUNTIFS('V7 - Session Management'!$F$2:$F$26,"Compliant",'V7 - Session Management'!$E$2:$E$26,2)</f>
        <v/>
      </c>
      <c r="H12" s="36">
        <f>IF(F12=0,"",G12/F12)</f>
        <v/>
      </c>
      <c r="I12" s="35" t="n">
        <v>1</v>
      </c>
      <c r="J12" s="35">
        <f>COUNTIFS('V7 - Session Management'!$F$2:$F$26,"Compliant",'V7 - Session Management'!$E$2:$E$26,3)</f>
        <v/>
      </c>
      <c r="K12" s="36">
        <f>IF(I12=0,"",J12/I12)</f>
        <v/>
      </c>
      <c r="L12" s="35">
        <f>COUNTIF('V7 - Session Management'!$F$2:$F$26,"Compliant")</f>
        <v/>
      </c>
      <c r="M12" s="36">
        <f>IF(B12=0,"",L12/B12)</f>
        <v/>
      </c>
    </row>
    <row r="13" ht="18" customHeight="1" s="28">
      <c r="A13" s="37" t="inlineStr">
        <is>
          <t>V8 – Authorization</t>
        </is>
      </c>
      <c r="B13" s="38" t="n">
        <v>13</v>
      </c>
      <c r="C13" s="38" t="n">
        <v>4</v>
      </c>
      <c r="D13" s="38">
        <f>COUNTIFS('V8 - Authorization'!$F$2:$F$18,"Compliant",'V8 - Authorization'!$E$2:$E$18,1)</f>
        <v/>
      </c>
      <c r="E13" s="39">
        <f>IF(C13=0,"",D13/C13)</f>
        <v/>
      </c>
      <c r="F13" s="38" t="n">
        <v>3</v>
      </c>
      <c r="G13" s="38">
        <f>COUNTIFS('V8 - Authorization'!$F$2:$F$18,"Compliant",'V8 - Authorization'!$E$2:$E$18,2)</f>
        <v/>
      </c>
      <c r="H13" s="39">
        <f>IF(F13=0,"",G13/F13)</f>
        <v/>
      </c>
      <c r="I13" s="38" t="n">
        <v>6</v>
      </c>
      <c r="J13" s="38">
        <f>COUNTIFS('V8 - Authorization'!$F$2:$F$18,"Compliant",'V8 - Authorization'!$E$2:$E$18,3)</f>
        <v/>
      </c>
      <c r="K13" s="39">
        <f>IF(I13=0,"",J13/I13)</f>
        <v/>
      </c>
      <c r="L13" s="38">
        <f>COUNTIF('V8 - Authorization'!$F$2:$F$18,"Compliant")</f>
        <v/>
      </c>
      <c r="M13" s="39">
        <f>IF(B13=0,"",L13/B13)</f>
        <v/>
      </c>
    </row>
    <row r="14" ht="18" customHeight="1" s="28">
      <c r="A14" s="34" t="inlineStr">
        <is>
          <t>V9 – Self-contained Tokens</t>
        </is>
      </c>
      <c r="B14" s="35" t="n">
        <v>7</v>
      </c>
      <c r="C14" s="35" t="n">
        <v>4</v>
      </c>
      <c r="D14" s="35">
        <f>COUNTIFS('V9 - Self-contained Tokens'!$F$2:$F$10,"Compliant",'V9 - Self-contained Tokens'!$E$2:$E$10,1)</f>
        <v/>
      </c>
      <c r="E14" s="36">
        <f>IF(C14=0,"",D14/C14)</f>
        <v/>
      </c>
      <c r="F14" s="35" t="n">
        <v>3</v>
      </c>
      <c r="G14" s="35">
        <f>COUNTIFS('V9 - Self-contained Tokens'!$F$2:$F$10,"Compliant",'V9 - Self-contained Tokens'!$E$2:$E$10,2)</f>
        <v/>
      </c>
      <c r="H14" s="36">
        <f>IF(F14=0,"",G14/F14)</f>
        <v/>
      </c>
      <c r="I14" s="35" t="n">
        <v>0</v>
      </c>
      <c r="J14" s="35" t="inlineStr">
        <is>
          <t>N/A</t>
        </is>
      </c>
      <c r="K14" s="35" t="inlineStr">
        <is>
          <t>N/A</t>
        </is>
      </c>
      <c r="L14" s="35">
        <f>COUNTIF('V9 - Self-contained Tokens'!$F$2:$F$10,"Compliant")</f>
        <v/>
      </c>
      <c r="M14" s="36">
        <f>IF(B14=0,"",L14/B14)</f>
        <v/>
      </c>
    </row>
    <row r="15" ht="18" customHeight="1" s="28">
      <c r="A15" s="37" t="inlineStr">
        <is>
          <t>V10 – OAuth and OIDC</t>
        </is>
      </c>
      <c r="B15" s="38" t="n">
        <v>36</v>
      </c>
      <c r="C15" s="38" t="n">
        <v>5</v>
      </c>
      <c r="D15" s="38">
        <f>COUNTIFS('V10 - OAuth and OIDC'!$F$2:$F$44,"Compliant",'V10 - OAuth and OIDC'!$E$2:$E$44,1)</f>
        <v/>
      </c>
      <c r="E15" s="39">
        <f>IF(C15=0,"",D15/C15)</f>
        <v/>
      </c>
      <c r="F15" s="38" t="n">
        <v>24</v>
      </c>
      <c r="G15" s="38">
        <f>COUNTIFS('V10 - OAuth and OIDC'!$F$2:$F$44,"Compliant",'V10 - OAuth and OIDC'!$E$2:$E$44,2)</f>
        <v/>
      </c>
      <c r="H15" s="39">
        <f>IF(F15=0,"",G15/F15)</f>
        <v/>
      </c>
      <c r="I15" s="38" t="n">
        <v>7</v>
      </c>
      <c r="J15" s="38">
        <f>COUNTIFS('V10 - OAuth and OIDC'!$F$2:$F$44,"Compliant",'V10 - OAuth and OIDC'!$E$2:$E$44,3)</f>
        <v/>
      </c>
      <c r="K15" s="39">
        <f>IF(I15=0,"",J15/I15)</f>
        <v/>
      </c>
      <c r="L15" s="38">
        <f>COUNTIF('V10 - OAuth and OIDC'!$F$2:$F$44,"Compliant")</f>
        <v/>
      </c>
      <c r="M15" s="39">
        <f>IF(B15=0,"",L15/B15)</f>
        <v/>
      </c>
    </row>
    <row r="16" ht="18" customHeight="1" s="28">
      <c r="A16" s="34" t="inlineStr">
        <is>
          <t>V11 – Cryptography</t>
        </is>
      </c>
      <c r="B16" s="35" t="n">
        <v>24</v>
      </c>
      <c r="C16" s="35" t="n">
        <v>3</v>
      </c>
      <c r="D16" s="35">
        <f>COUNTIFS('V11 - Cryptography'!$F$2:$F$32,"Compliant",'V11 - Cryptography'!$E$2:$E$32,1)</f>
        <v/>
      </c>
      <c r="E16" s="36">
        <f>IF(C16=0,"",D16/C16)</f>
        <v/>
      </c>
      <c r="F16" s="35" t="n">
        <v>11</v>
      </c>
      <c r="G16" s="35">
        <f>COUNTIFS('V11 - Cryptography'!$F$2:$F$32,"Compliant",'V11 - Cryptography'!$E$2:$E$32,2)</f>
        <v/>
      </c>
      <c r="H16" s="36">
        <f>IF(F16=0,"",G16/F16)</f>
        <v/>
      </c>
      <c r="I16" s="35" t="n">
        <v>10</v>
      </c>
      <c r="J16" s="35">
        <f>COUNTIFS('V11 - Cryptography'!$F$2:$F$32,"Compliant",'V11 - Cryptography'!$E$2:$E$32,3)</f>
        <v/>
      </c>
      <c r="K16" s="36">
        <f>IF(I16=0,"",J16/I16)</f>
        <v/>
      </c>
      <c r="L16" s="35">
        <f>COUNTIF('V11 - Cryptography'!$F$2:$F$32,"Compliant")</f>
        <v/>
      </c>
      <c r="M16" s="36">
        <f>IF(B16=0,"",L16/B16)</f>
        <v/>
      </c>
    </row>
    <row r="17" ht="18" customHeight="1" s="28">
      <c r="A17" s="37" t="inlineStr">
        <is>
          <t>V12 – Secure Communication</t>
        </is>
      </c>
      <c r="B17" s="38" t="n">
        <v>12</v>
      </c>
      <c r="C17" s="38" t="n">
        <v>3</v>
      </c>
      <c r="D17" s="38">
        <f>COUNTIFS('V12 - Secure Communication'!$F$2:$F$16,"Compliant",'V12 - Secure Communication'!$E$2:$E$16,1)</f>
        <v/>
      </c>
      <c r="E17" s="39">
        <f>IF(C17=0,"",D17/C17)</f>
        <v/>
      </c>
      <c r="F17" s="38" t="n">
        <v>6</v>
      </c>
      <c r="G17" s="38">
        <f>COUNTIFS('V12 - Secure Communication'!$F$2:$F$16,"Compliant",'V12 - Secure Communication'!$E$2:$E$16,2)</f>
        <v/>
      </c>
      <c r="H17" s="39">
        <f>IF(F17=0,"",G17/F17)</f>
        <v/>
      </c>
      <c r="I17" s="38" t="n">
        <v>3</v>
      </c>
      <c r="J17" s="38">
        <f>COUNTIFS('V12 - Secure Communication'!$F$2:$F$16,"Compliant",'V12 - Secure Communication'!$E$2:$E$16,3)</f>
        <v/>
      </c>
      <c r="K17" s="39">
        <f>IF(I17=0,"",J17/I17)</f>
        <v/>
      </c>
      <c r="L17" s="38">
        <f>COUNTIF('V12 - Secure Communication'!$F$2:$F$16,"Compliant")</f>
        <v/>
      </c>
      <c r="M17" s="39">
        <f>IF(B17=0,"",L17/B17)</f>
        <v/>
      </c>
    </row>
    <row r="18" ht="18" customHeight="1" s="28">
      <c r="A18" s="34" t="inlineStr">
        <is>
          <t>V13 – Configuration</t>
        </is>
      </c>
      <c r="B18" s="35" t="n">
        <v>21</v>
      </c>
      <c r="C18" s="35" t="n">
        <v>1</v>
      </c>
      <c r="D18" s="35">
        <f>COUNTIFS('V13 - Configuration'!$F$2:$F$26,"Compliant",'V13 - Configuration'!$E$2:$E$26,1)</f>
        <v/>
      </c>
      <c r="E18" s="36">
        <f>IF(C18=0,"",D18/C18)</f>
        <v/>
      </c>
      <c r="F18" s="35" t="n">
        <v>12</v>
      </c>
      <c r="G18" s="35">
        <f>COUNTIFS('V13 - Configuration'!$F$2:$F$26,"Compliant",'V13 - Configuration'!$E$2:$E$26,2)</f>
        <v/>
      </c>
      <c r="H18" s="36">
        <f>IF(F18=0,"",G18/F18)</f>
        <v/>
      </c>
      <c r="I18" s="35" t="n">
        <v>8</v>
      </c>
      <c r="J18" s="35">
        <f>COUNTIFS('V13 - Configuration'!$F$2:$F$26,"Compliant",'V13 - Configuration'!$E$2:$E$26,3)</f>
        <v/>
      </c>
      <c r="K18" s="36">
        <f>IF(I18=0,"",J18/I18)</f>
        <v/>
      </c>
      <c r="L18" s="35">
        <f>COUNTIF('V13 - Configuration'!$F$2:$F$26,"Compliant")</f>
        <v/>
      </c>
      <c r="M18" s="36">
        <f>IF(B18=0,"",L18/B18)</f>
        <v/>
      </c>
    </row>
    <row r="19" ht="18" customHeight="1" s="28">
      <c r="A19" s="37" t="inlineStr">
        <is>
          <t>V14 – Data Protection</t>
        </is>
      </c>
      <c r="B19" s="38" t="n">
        <v>13</v>
      </c>
      <c r="C19" s="38" t="n">
        <v>2</v>
      </c>
      <c r="D19" s="38">
        <f>COUNTIFS('V14 - Data Protection'!$F$2:$F$17,"Compliant",'V14 - Data Protection'!$E$2:$E$17,1)</f>
        <v/>
      </c>
      <c r="E19" s="39">
        <f>IF(C19=0,"",D19/C19)</f>
        <v/>
      </c>
      <c r="F19" s="38" t="n">
        <v>7</v>
      </c>
      <c r="G19" s="38">
        <f>COUNTIFS('V14 - Data Protection'!$F$2:$F$17,"Compliant",'V14 - Data Protection'!$E$2:$E$17,2)</f>
        <v/>
      </c>
      <c r="H19" s="39">
        <f>IF(F19=0,"",G19/F19)</f>
        <v/>
      </c>
      <c r="I19" s="38" t="n">
        <v>4</v>
      </c>
      <c r="J19" s="38">
        <f>COUNTIFS('V14 - Data Protection'!$F$2:$F$17,"Compliant",'V14 - Data Protection'!$E$2:$E$17,3)</f>
        <v/>
      </c>
      <c r="K19" s="39">
        <f>IF(I19=0,"",J19/I19)</f>
        <v/>
      </c>
      <c r="L19" s="38">
        <f>COUNTIF('V14 - Data Protection'!$F$2:$F$17,"Compliant")</f>
        <v/>
      </c>
      <c r="M19" s="39">
        <f>IF(B19=0,"",L19/B19)</f>
        <v/>
      </c>
    </row>
    <row r="20" ht="18" customHeight="1" s="28">
      <c r="A20" s="34" t="inlineStr">
        <is>
          <t>V15 – Secure Coding and Architecture</t>
        </is>
      </c>
      <c r="B20" s="35" t="n">
        <v>21</v>
      </c>
      <c r="C20" s="35" t="n">
        <v>3</v>
      </c>
      <c r="D20" s="35">
        <f>COUNTIFS('V15 - Secure Coding and Archite'!$F$2:$F$26,"Compliant",'V15 - Secure Coding and Archite'!$E$2:$E$26,1)</f>
        <v/>
      </c>
      <c r="E20" s="36">
        <f>IF(C20=0,"",D20/C20)</f>
        <v/>
      </c>
      <c r="F20" s="35" t="n">
        <v>10</v>
      </c>
      <c r="G20" s="35">
        <f>COUNTIFS('V15 - Secure Coding and Archite'!$F$2:$F$26,"Compliant",'V15 - Secure Coding and Archite'!$E$2:$E$26,2)</f>
        <v/>
      </c>
      <c r="H20" s="36">
        <f>IF(F20=0,"",G20/F20)</f>
        <v/>
      </c>
      <c r="I20" s="35" t="n">
        <v>8</v>
      </c>
      <c r="J20" s="35">
        <f>COUNTIFS('V15 - Secure Coding and Archite'!$F$2:$F$26,"Compliant",'V15 - Secure Coding and Archite'!$E$2:$E$26,3)</f>
        <v/>
      </c>
      <c r="K20" s="36">
        <f>IF(I20=0,"",J20/I20)</f>
        <v/>
      </c>
      <c r="L20" s="35">
        <f>COUNTIF('V15 - Secure Coding and Archite'!$F$2:$F$26,"Compliant")</f>
        <v/>
      </c>
      <c r="M20" s="36">
        <f>IF(B20=0,"",L20/B20)</f>
        <v/>
      </c>
    </row>
    <row r="21" ht="18" customHeight="1" s="28">
      <c r="A21" s="37" t="inlineStr">
        <is>
          <t>V16 – Security Logging and Error Handling</t>
        </is>
      </c>
      <c r="B21" s="38" t="n">
        <v>17</v>
      </c>
      <c r="C21" s="38" t="n">
        <v>0</v>
      </c>
      <c r="D21" s="38" t="inlineStr">
        <is>
          <t>N/A</t>
        </is>
      </c>
      <c r="E21" s="38" t="inlineStr">
        <is>
          <t>N/A</t>
        </is>
      </c>
      <c r="F21" s="38" t="n">
        <v>16</v>
      </c>
      <c r="G21" s="38">
        <f>COUNTIFS('V16 - Security Logging and Erro'!$F$2:$F$23,"Compliant",'V16 - Security Logging and Erro'!$E$2:$E$23,2)</f>
        <v/>
      </c>
      <c r="H21" s="39">
        <f>IF(F21=0,"",G21/F21)</f>
        <v/>
      </c>
      <c r="I21" s="38" t="n">
        <v>1</v>
      </c>
      <c r="J21" s="38">
        <f>COUNTIFS('V16 - Security Logging and Erro'!$F$2:$F$23,"Compliant",'V16 - Security Logging and Erro'!$E$2:$E$23,3)</f>
        <v/>
      </c>
      <c r="K21" s="39">
        <f>IF(I21=0,"",J21/I21)</f>
        <v/>
      </c>
      <c r="L21" s="38">
        <f>COUNTIF('V16 - Security Logging and Erro'!$F$2:$F$23,"Compliant")</f>
        <v/>
      </c>
      <c r="M21" s="39">
        <f>IF(B21=0,"",L21/B21)</f>
        <v/>
      </c>
    </row>
    <row r="22" ht="18" customHeight="1" s="28">
      <c r="A22" s="34" t="inlineStr">
        <is>
          <t>V17 – WebRTC</t>
        </is>
      </c>
      <c r="B22" s="35" t="n">
        <v>12</v>
      </c>
      <c r="C22" s="35" t="n">
        <v>0</v>
      </c>
      <c r="D22" s="35" t="inlineStr">
        <is>
          <t>N/A</t>
        </is>
      </c>
      <c r="E22" s="35" t="inlineStr">
        <is>
          <t>N/A</t>
        </is>
      </c>
      <c r="F22" s="35" t="n">
        <v>7</v>
      </c>
      <c r="G22" s="35">
        <f>COUNTIFS('V17 - WebRTC'!$F$2:$F$16,"Compliant",'V17 - WebRTC'!$E$2:$E$16,2)</f>
        <v/>
      </c>
      <c r="H22" s="36">
        <f>IF(F22=0,"",G22/F22)</f>
        <v/>
      </c>
      <c r="I22" s="35" t="n">
        <v>5</v>
      </c>
      <c r="J22" s="35">
        <f>COUNTIFS('V17 - WebRTC'!$F$2:$F$16,"Compliant",'V17 - WebRTC'!$E$2:$E$16,3)</f>
        <v/>
      </c>
      <c r="K22" s="36">
        <f>IF(I22=0,"",J22/I22)</f>
        <v/>
      </c>
      <c r="L22" s="35">
        <f>COUNTIF('V17 - WebRTC'!$F$2:$F$16,"Compliant")</f>
        <v/>
      </c>
      <c r="M22" s="36">
        <f>IF(B22=0,"",L22/B22)</f>
        <v/>
      </c>
    </row>
    <row r="23" ht="22" customHeight="1" s="28">
      <c r="A23" s="40" t="inlineStr">
        <is>
          <t>TOTAL</t>
        </is>
      </c>
      <c r="B23" s="41">
        <f>SUM(B6:B22)</f>
        <v/>
      </c>
      <c r="C23" s="41">
        <f>SUM(C6:C22)</f>
        <v/>
      </c>
      <c r="D23" s="41">
        <f>SUM(D6:D22)</f>
        <v/>
      </c>
      <c r="E23" s="42">
        <f>IFERROR(AVERAGE(E6:E22),"")</f>
        <v/>
      </c>
      <c r="F23" s="41">
        <f>SUM(F6:F22)</f>
        <v/>
      </c>
      <c r="G23" s="41">
        <f>SUM(G6:G22)</f>
        <v/>
      </c>
      <c r="H23" s="42">
        <f>IFERROR(AVERAGE(H6:H22),"")</f>
        <v/>
      </c>
      <c r="I23" s="41">
        <f>SUM(I6:I22)</f>
        <v/>
      </c>
      <c r="J23" s="41">
        <f>SUM(J6:J22)</f>
        <v/>
      </c>
      <c r="K23" s="42">
        <f>IFERROR(AVERAGE(K6:K22),"")</f>
        <v/>
      </c>
      <c r="L23" s="41">
        <f>SUM(L6:L22)</f>
        <v/>
      </c>
      <c r="M23" s="42">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0"/>
  </sheetPr>
  <dimension ref="A1:H3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J8" activeCellId="0" sqref="J8"/>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t>
        </is>
      </c>
      <c r="B2" s="44" t="inlineStr">
        <is>
          <t>Encoding and Sanitization Architecture</t>
        </is>
      </c>
      <c r="C2" s="44" t="n"/>
      <c r="D2" s="44" t="n"/>
      <c r="E2" s="44" t="n"/>
      <c r="F2" s="44" t="n"/>
      <c r="G2" s="44" t="n"/>
      <c r="H2" s="44" t="n"/>
    </row>
    <row r="3" ht="30" customHeight="1" s="28">
      <c r="A3" s="45" t="inlineStr">
        <is>
          <t>V1.1</t>
        </is>
      </c>
      <c r="B3" s="45" t="inlineStr">
        <is>
          <t>Encoding and Sanitization Architecture</t>
        </is>
      </c>
      <c r="C3" s="46" t="inlineStr">
        <is>
          <t>V1.1.1</t>
        </is>
      </c>
      <c r="D3" s="47"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48" t="n">
        <v>2</v>
      </c>
      <c r="F3" s="49" t="inlineStr">
        <is>
          <t>Compliant</t>
        </is>
      </c>
      <c r="G3" s="47" t="inlineStr">
        <is>
          <t>Parameterized queries via Spring Data JPA and JDBC prepared statements exclusively. No string concatenation in SQL.</t>
        </is>
      </c>
      <c r="H3" s="47" t="inlineStr">
        <is>
          <t>src/main/java/pt/isep/desofs/enderchest/repository/*.java</t>
        </is>
      </c>
    </row>
    <row r="4" ht="30" customHeight="1" s="28">
      <c r="A4" s="50" t="inlineStr">
        <is>
          <t>V1.1</t>
        </is>
      </c>
      <c r="B4" s="50" t="inlineStr">
        <is>
          <t>Encoding and Sanitization Architecture</t>
        </is>
      </c>
      <c r="C4" s="51" t="inlineStr">
        <is>
          <t>V1.1.2</t>
        </is>
      </c>
      <c r="D4" s="52" t="inlineStr">
        <is>
          <t>Verify that the application performs output encoding and escaping either as a final step before being used by the interpreter for which it is intended or by the interpreter itself.</t>
        </is>
      </c>
      <c r="E4" s="48" t="n">
        <v>2</v>
      </c>
      <c r="F4" s="49" t="inlineStr">
        <is>
          <t>Not Applicable</t>
        </is>
      </c>
      <c r="G4" s="52" t="inlineStr">
        <is>
          <t>No LDAP used in the system.</t>
        </is>
      </c>
      <c r="H4" s="52" t="n"/>
    </row>
    <row r="5" ht="18" customHeight="1" s="28">
      <c r="A5" s="44" t="inlineStr">
        <is>
          <t>V1.2</t>
        </is>
      </c>
      <c r="B5" s="44" t="inlineStr">
        <is>
          <t>Injection Prevention</t>
        </is>
      </c>
      <c r="C5" s="44" t="n"/>
      <c r="D5" s="44" t="n"/>
      <c r="E5" s="44" t="n"/>
      <c r="F5" s="44" t="n"/>
      <c r="G5" s="44" t="n"/>
      <c r="H5" s="44" t="n"/>
    </row>
    <row r="6" ht="30" customHeight="1" s="28">
      <c r="A6" s="45" t="inlineStr">
        <is>
          <t>V1.2</t>
        </is>
      </c>
      <c r="B6" s="45" t="inlineStr">
        <is>
          <t>Injection Prevention</t>
        </is>
      </c>
      <c r="C6" s="46" t="inlineStr">
        <is>
          <t>V1.2.1</t>
        </is>
      </c>
      <c r="D6" s="47"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53" t="n">
        <v>1</v>
      </c>
      <c r="F6" s="49" t="inlineStr">
        <is>
          <t>Compliant</t>
        </is>
      </c>
      <c r="G6" s="47" t="inlineStr">
        <is>
          <t>No Runtime.exec() calls. All OS I/O via Java NIO using system-generated UUID paths. User-supplied filenames never used as path components.</t>
        </is>
      </c>
      <c r="H6" s="47" t="n"/>
    </row>
    <row r="7" ht="30" customHeight="1" s="28">
      <c r="A7" s="50" t="inlineStr">
        <is>
          <t>V1.2</t>
        </is>
      </c>
      <c r="B7" s="50" t="inlineStr">
        <is>
          <t>Injection Prevention</t>
        </is>
      </c>
      <c r="C7" s="51" t="inlineStr">
        <is>
          <t>V1.2.2</t>
        </is>
      </c>
      <c r="D7" s="52" t="inlineStr">
        <is>
          <t>Verify that when dynamically building URLs, untrusted data is encoded according to its context (e.g., URL encoding or base64url encoding for query or path parameters). Ensure that only safe URL protocols are permitted (e.g., disallow javascript: or data:).</t>
        </is>
      </c>
      <c r="E7" s="53" t="n">
        <v>1</v>
      </c>
      <c r="F7" s="49" t="inlineStr">
        <is>
          <t>Compliant</t>
        </is>
      </c>
      <c r="G7" s="52" t="inlineStr">
        <is>
          <t>No LDAP used. Not applicable, marked Compliant as no risk exists.</t>
        </is>
      </c>
      <c r="H7" s="52" t="inlineStr">
        <is>
          <t>N/A – No LDAP</t>
        </is>
      </c>
    </row>
    <row r="8" ht="30" customHeight="1" s="28">
      <c r="A8" s="45" t="inlineStr">
        <is>
          <t>V1.2</t>
        </is>
      </c>
      <c r="B8" s="45" t="inlineStr">
        <is>
          <t>Injection Prevention</t>
        </is>
      </c>
      <c r="C8" s="46" t="inlineStr">
        <is>
          <t>V1.2.3</t>
        </is>
      </c>
      <c r="D8" s="47" t="inlineStr">
        <is>
          <t>Verify that output encoding or escaping is used when dynamically building JavaScript content (including JSON), to avoid changing the message or document structure (to avoid JavaScript and JSON injection).</t>
        </is>
      </c>
      <c r="E8" s="53" t="n">
        <v>1</v>
      </c>
      <c r="F8" s="49" t="inlineStr">
        <is>
          <t>Not Applicable</t>
        </is>
      </c>
      <c r="G8" s="47" t="inlineStr">
        <is>
          <t>No XPath processing in the system.</t>
        </is>
      </c>
      <c r="H8" s="47" t="n"/>
    </row>
    <row r="9" ht="30" customHeight="1" s="28">
      <c r="A9" s="50" t="inlineStr">
        <is>
          <t>V1.2</t>
        </is>
      </c>
      <c r="B9" s="50" t="inlineStr">
        <is>
          <t>Injection Prevention</t>
        </is>
      </c>
      <c r="C9" s="51" t="inlineStr">
        <is>
          <t>V1.2.4</t>
        </is>
      </c>
      <c r="D9" s="52"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53" t="n">
        <v>1</v>
      </c>
      <c r="F9" s="49" t="inlineStr">
        <is>
          <t>Not Applicable</t>
        </is>
      </c>
      <c r="G9" s="52" t="inlineStr">
        <is>
          <t>No HTML rendering. Pure REST API returns JSON only.</t>
        </is>
      </c>
      <c r="H9" s="52" t="n"/>
    </row>
    <row r="10" ht="30" customHeight="1" s="28">
      <c r="A10" s="45" t="inlineStr">
        <is>
          <t>V1.2</t>
        </is>
      </c>
      <c r="B10" s="45" t="inlineStr">
        <is>
          <t>Injection Prevention</t>
        </is>
      </c>
      <c r="C10" s="46" t="inlineStr">
        <is>
          <t>V1.2.5</t>
        </is>
      </c>
      <c r="D10" s="47" t="inlineStr">
        <is>
          <t>Verify that the application protects against OS command injection and that operating system calls use parameterized OS queries or use contextual command line output encoding.</t>
        </is>
      </c>
      <c r="E10" s="53" t="n">
        <v>1</v>
      </c>
      <c r="F10" s="49" t="inlineStr">
        <is>
          <t>Not Applicable</t>
        </is>
      </c>
      <c r="G10" s="47" t="inlineStr">
        <is>
          <t>No CSS processing or rendering.</t>
        </is>
      </c>
      <c r="H10" s="47" t="n"/>
    </row>
    <row r="11" ht="30" customHeight="1" s="28">
      <c r="A11" s="50" t="inlineStr">
        <is>
          <t>V1.2</t>
        </is>
      </c>
      <c r="B11" s="50" t="inlineStr">
        <is>
          <t>Injection Prevention</t>
        </is>
      </c>
      <c r="C11" s="51" t="inlineStr">
        <is>
          <t>V1.2.6</t>
        </is>
      </c>
      <c r="D11" s="52" t="inlineStr">
        <is>
          <t>Verify that the application protects against LDAP injection vulnerabilities, or that specific security controls to prevent LDAP injection have been implemented.</t>
        </is>
      </c>
      <c r="E11" s="48" t="n">
        <v>2</v>
      </c>
      <c r="F11" s="49" t="inlineStr">
        <is>
          <t>Not Applicable</t>
        </is>
      </c>
      <c r="G11" s="52" t="inlineStr">
        <is>
          <t>No JavaScript rendering server-side.</t>
        </is>
      </c>
      <c r="H11" s="52" t="n"/>
    </row>
    <row r="12" ht="30" customHeight="1" s="28">
      <c r="A12" s="45" t="inlineStr">
        <is>
          <t>V1.2</t>
        </is>
      </c>
      <c r="B12" s="45" t="inlineStr">
        <is>
          <t>Injection Prevention</t>
        </is>
      </c>
      <c r="C12" s="46" t="inlineStr">
        <is>
          <t>V1.2.7</t>
        </is>
      </c>
      <c r="D12" s="47" t="inlineStr">
        <is>
          <t>Verify that the application is protected against XPath injection attacks by using query parameterization or precompiled queries.</t>
        </is>
      </c>
      <c r="E12" s="48" t="n">
        <v>2</v>
      </c>
      <c r="F12" s="49" t="inlineStr">
        <is>
          <t>Compliant</t>
        </is>
      </c>
      <c r="G12" s="47" t="inlineStr">
        <is>
          <t>JSON serialized via Jackson with type safety. No dynamic JSON construction from raw input.</t>
        </is>
      </c>
      <c r="H12" s="47" t="inlineStr">
        <is>
          <t>src/main/java/pt/isep/desofs/enderchest/service/dto/*.java</t>
        </is>
      </c>
    </row>
    <row r="13" ht="30" customHeight="1" s="28">
      <c r="A13" s="50" t="inlineStr">
        <is>
          <t>V1.2</t>
        </is>
      </c>
      <c r="B13" s="50" t="inlineStr">
        <is>
          <t>Injection Prevention</t>
        </is>
      </c>
      <c r="C13" s="51" t="inlineStr">
        <is>
          <t>V1.2.8</t>
        </is>
      </c>
      <c r="D13" s="52" t="inlineStr">
        <is>
          <t>Verify that LaTeX processors are configured securely (such as not using the "--shell-escape" flag) and an allowlist of commands is used to prevent LaTeX injection attacks.</t>
        </is>
      </c>
      <c r="E13" s="48" t="n">
        <v>2</v>
      </c>
      <c r="F13" s="49" t="inlineStr">
        <is>
          <t>Not Applicable</t>
        </is>
      </c>
      <c r="G13" s="52" t="inlineStr">
        <is>
          <t>No XML processing for user-supplied input.</t>
        </is>
      </c>
      <c r="H13" s="52" t="n"/>
    </row>
    <row r="14" ht="30" customHeight="1" s="28">
      <c r="A14" s="45" t="inlineStr">
        <is>
          <t>V1.2</t>
        </is>
      </c>
      <c r="B14" s="45" t="inlineStr">
        <is>
          <t>Injection Prevention</t>
        </is>
      </c>
      <c r="C14" s="46" t="inlineStr">
        <is>
          <t>V1.2.9</t>
        </is>
      </c>
      <c r="D14" s="47" t="inlineStr">
        <is>
          <t>Verify that the application escapes special characters in regular expressions (typically using a backslash) to prevent them from being misinterpreted as metacharacters.</t>
        </is>
      </c>
      <c r="E14" s="48" t="n">
        <v>2</v>
      </c>
      <c r="F14" s="49" t="inlineStr">
        <is>
          <t>Not Applicable</t>
        </is>
      </c>
      <c r="G14" s="47" t="inlineStr">
        <is>
          <t>No HTML rendering; XSS not a risk in a pure REST JSON API.</t>
        </is>
      </c>
      <c r="H14" s="47" t="n"/>
    </row>
    <row r="15" ht="30" customHeight="1" s="28">
      <c r="A15" s="50" t="inlineStr">
        <is>
          <t>V1.2</t>
        </is>
      </c>
      <c r="B15" s="50" t="inlineStr">
        <is>
          <t>Injection Prevention</t>
        </is>
      </c>
      <c r="C15" s="51" t="inlineStr">
        <is>
          <t>V1.2.10</t>
        </is>
      </c>
      <c r="D15" s="52"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54" t="n">
        <v>3</v>
      </c>
      <c r="F15" s="49" t="inlineStr">
        <is>
          <t>Not Applicable</t>
        </is>
      </c>
      <c r="G15" s="52" t="inlineStr">
        <is>
          <t>No HTML rendering or sanitization needed.</t>
        </is>
      </c>
      <c r="H15" s="52" t="n"/>
    </row>
    <row r="16" ht="18" customHeight="1" s="28">
      <c r="A16" s="44" t="inlineStr">
        <is>
          <t>V1.3</t>
        </is>
      </c>
      <c r="B16" s="44" t="inlineStr">
        <is>
          <t>Sanitization</t>
        </is>
      </c>
      <c r="C16" s="44" t="n"/>
      <c r="D16" s="44" t="n"/>
      <c r="E16" s="44" t="n"/>
      <c r="F16" s="44" t="n"/>
      <c r="G16" s="44" t="n"/>
      <c r="H16" s="44" t="n"/>
    </row>
    <row r="17" ht="30" customHeight="1" s="28">
      <c r="A17" s="45" t="inlineStr">
        <is>
          <t>V1.3</t>
        </is>
      </c>
      <c r="B17" s="45" t="inlineStr">
        <is>
          <t>Sanitization</t>
        </is>
      </c>
      <c r="C17" s="46" t="inlineStr">
        <is>
          <t>V1.3.1</t>
        </is>
      </c>
      <c r="D17" s="47" t="inlineStr">
        <is>
          <t>Verify that all untrusted HTML input from WYSIWYG editors or similar is sanitized using a well-known and secure HTML sanitization library or framework feature.</t>
        </is>
      </c>
      <c r="E17" s="53" t="n">
        <v>1</v>
      </c>
      <c r="F17" s="49" t="inlineStr">
        <is>
          <t>Compliant</t>
        </is>
      </c>
      <c r="G17" s="47" t="inlineStr">
        <is>
          <t>java.nio.file.Path.normalize() applied; result verified to start with configured base directory before any I/O.</t>
        </is>
      </c>
      <c r="H17" s="47" t="inlineStr">
        <is>
          <t>src/main/java/pt/isep/desofs/enderchest/service/FileStorageService.java</t>
        </is>
      </c>
    </row>
    <row r="18" ht="30" customHeight="1" s="28">
      <c r="A18" s="50" t="inlineStr">
        <is>
          <t>V1.3</t>
        </is>
      </c>
      <c r="B18" s="50" t="inlineStr">
        <is>
          <t>Sanitization</t>
        </is>
      </c>
      <c r="C18" s="51" t="inlineStr">
        <is>
          <t>V1.3.2</t>
        </is>
      </c>
      <c r="D18" s="52" t="inlineStr">
        <is>
          <t>Verify that the application avoids the use of eval() or other dynamic code execution features such as Spring Expression Language (SpEL). Where there is no alternative, any user input being included must be sanitized before being executed.</t>
        </is>
      </c>
      <c r="E18" s="53" t="n">
        <v>1</v>
      </c>
      <c r="F18" s="55" t="inlineStr">
        <is>
          <t>Not Started</t>
        </is>
      </c>
      <c r="G18" s="52" t="inlineStr">
        <is>
          <t>Archive extraction not in scope for Phase 1; zip-slip prevention to be verified in Phase 2.</t>
        </is>
      </c>
      <c r="H18" s="52" t="inlineStr">
        <is>
          <t>src/main/java/pt/isep/desofs/enderchest/service/FileStorageService.java (Sprint 2 backlog)</t>
        </is>
      </c>
    </row>
    <row r="19" ht="30" customHeight="1" s="28">
      <c r="A19" s="45" t="inlineStr">
        <is>
          <t>V1.3</t>
        </is>
      </c>
      <c r="B19" s="45" t="inlineStr">
        <is>
          <t>Sanitization</t>
        </is>
      </c>
      <c r="C19" s="46" t="inlineStr">
        <is>
          <t>V1.3.3</t>
        </is>
      </c>
      <c r="D19" s="47" t="inlineStr">
        <is>
          <t>Verify that data being passed to a potentially dangerous context is sanitized beforehand to enforce safety measures, such as only allowing characters which are safe for this context and trimming input which is too long.</t>
        </is>
      </c>
      <c r="E19" s="48" t="n">
        <v>2</v>
      </c>
      <c r="F19" s="49" t="inlineStr">
        <is>
          <t>Compliant</t>
        </is>
      </c>
      <c r="G19" s="47" t="inlineStr">
        <is>
          <t>UUID filenames prevent guessing; storage directory has no execute permissions.</t>
        </is>
      </c>
      <c r="H19" s="47" t="inlineStr">
        <is>
          <t>src/main/java/pt/isep/desofs/enderchest/service/FileStorageService.java</t>
        </is>
      </c>
    </row>
    <row r="20" ht="30" customHeight="1" s="28">
      <c r="A20" s="50" t="inlineStr">
        <is>
          <t>V1.3</t>
        </is>
      </c>
      <c r="B20" s="50" t="inlineStr">
        <is>
          <t>Sanitization</t>
        </is>
      </c>
      <c r="C20" s="51" t="inlineStr">
        <is>
          <t>V1.3.4</t>
        </is>
      </c>
      <c r="D20" s="52" t="inlineStr">
        <is>
          <t>Verify that user-supplied Scalable Vector Graphics (SVG) scriptable content is validated or sanitized to contain only tags and attributes (such as draw graphics) that are safe for the application, e.g., do not contain scripts and foreignObject.</t>
        </is>
      </c>
      <c r="E20" s="48" t="n">
        <v>2</v>
      </c>
      <c r="F20" s="49" t="inlineStr">
        <is>
          <t>Not Applicable</t>
        </is>
      </c>
      <c r="G20" s="52" t="inlineStr">
        <is>
          <t>No server-side templates used.</t>
        </is>
      </c>
      <c r="H20" s="52" t="n"/>
    </row>
    <row r="21" ht="30" customHeight="1" s="28">
      <c r="A21" s="45" t="inlineStr">
        <is>
          <t>V1.3</t>
        </is>
      </c>
      <c r="B21" s="45" t="inlineStr">
        <is>
          <t>Sanitization</t>
        </is>
      </c>
      <c r="C21" s="46" t="inlineStr">
        <is>
          <t>V1.3.5</t>
        </is>
      </c>
      <c r="D21" s="47" t="inlineStr">
        <is>
          <t>Verify that the application sanitizes or disables user-supplied scriptable or expression template language content, such as Markdown, CSS or XSL stylesheets, BBCode, or similar.</t>
        </is>
      </c>
      <c r="E21" s="48" t="n">
        <v>2</v>
      </c>
      <c r="F21" s="49" t="inlineStr">
        <is>
          <t>Not Applicable</t>
        </is>
      </c>
      <c r="G21" s="47" t="inlineStr">
        <is>
          <t>No outbound HTTP requests triggered by user-supplied URLs.</t>
        </is>
      </c>
      <c r="H21" s="47" t="n"/>
    </row>
    <row r="22" ht="30" customHeight="1" s="28">
      <c r="A22" s="50" t="inlineStr">
        <is>
          <t>V1.3</t>
        </is>
      </c>
      <c r="B22" s="50" t="inlineStr">
        <is>
          <t>Sanitization</t>
        </is>
      </c>
      <c r="C22" s="51" t="inlineStr">
        <is>
          <t>V1.3.6</t>
        </is>
      </c>
      <c r="D22" s="52"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48" t="n">
        <v>2</v>
      </c>
      <c r="F22" s="49" t="inlineStr">
        <is>
          <t>Not Applicable</t>
        </is>
      </c>
      <c r="G22" s="52" t="inlineStr">
        <is>
          <t>No URL redirection from user input.</t>
        </is>
      </c>
      <c r="H22" s="52" t="n"/>
    </row>
    <row r="23" ht="30" customHeight="1" s="28">
      <c r="A23" s="45" t="inlineStr">
        <is>
          <t>V1.3</t>
        </is>
      </c>
      <c r="B23" s="45" t="inlineStr">
        <is>
          <t>Sanitization</t>
        </is>
      </c>
      <c r="C23" s="46" t="inlineStr">
        <is>
          <t>V1.3.7</t>
        </is>
      </c>
      <c r="D23" s="47"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48" t="n">
        <v>2</v>
      </c>
      <c r="F23" s="49" t="inlineStr">
        <is>
          <t>Not Applicable</t>
        </is>
      </c>
      <c r="G23" s="47" t="inlineStr">
        <is>
          <t>Files stored but never rendered or processed server-side after upload.</t>
        </is>
      </c>
      <c r="H23" s="47" t="n"/>
    </row>
    <row r="24" ht="30" customHeight="1" s="28">
      <c r="A24" s="50" t="inlineStr">
        <is>
          <t>V1.3</t>
        </is>
      </c>
      <c r="B24" s="50" t="inlineStr">
        <is>
          <t>Sanitization</t>
        </is>
      </c>
      <c r="C24" s="51" t="inlineStr">
        <is>
          <t>V1.3.8</t>
        </is>
      </c>
      <c r="D24" s="52" t="inlineStr">
        <is>
          <t>Verify that the application appropriately sanitizes untrusted input before use in Java Naming and Directory Interface (JNDI) queries and that JNDI is configured securely to prevent JNDI injection attacks.</t>
        </is>
      </c>
      <c r="E24" s="48" t="n">
        <v>2</v>
      </c>
      <c r="F24" s="49" t="inlineStr">
        <is>
          <t>Not Applicable</t>
        </is>
      </c>
      <c r="G24" s="52" t="inlineStr">
        <is>
          <t>No HTML rendering of uploaded files.</t>
        </is>
      </c>
      <c r="H24" s="52" t="n"/>
    </row>
    <row r="25" ht="30" customHeight="1" s="28">
      <c r="A25" s="45" t="inlineStr">
        <is>
          <t>V1.3</t>
        </is>
      </c>
      <c r="B25" s="45" t="inlineStr">
        <is>
          <t>Sanitization</t>
        </is>
      </c>
      <c r="C25" s="46" t="inlineStr">
        <is>
          <t>V1.3.9</t>
        </is>
      </c>
      <c r="D25" s="47" t="inlineStr">
        <is>
          <t>Verify that the application sanitizes content before it is sent to memcache to prevent injection attacks.</t>
        </is>
      </c>
      <c r="E25" s="48" t="n">
        <v>2</v>
      </c>
      <c r="F25" s="49" t="inlineStr">
        <is>
          <t>Not Applicable</t>
        </is>
      </c>
      <c r="G25" s="47" t="inlineStr">
        <is>
          <t>No eval() or dynamic script execution.</t>
        </is>
      </c>
      <c r="H25" s="47" t="n"/>
    </row>
    <row r="26" ht="30" customHeight="1" s="28">
      <c r="A26" s="50" t="inlineStr">
        <is>
          <t>V1.3</t>
        </is>
      </c>
      <c r="B26" s="50" t="inlineStr">
        <is>
          <t>Sanitization</t>
        </is>
      </c>
      <c r="C26" s="51" t="inlineStr">
        <is>
          <t>V1.3.10</t>
        </is>
      </c>
      <c r="D26" s="52" t="inlineStr">
        <is>
          <t>Verify that format strings which might resolve in an unexpected or malicious way when used are sanitized before being processed.</t>
        </is>
      </c>
      <c r="E26" s="48" t="n">
        <v>2</v>
      </c>
      <c r="F26" s="56" t="inlineStr">
        <is>
          <t>Compliant</t>
        </is>
      </c>
      <c r="G26" s="52" t="inlineStr">
        <is>
          <t>Mass assignment protection to be verified in Phase 2 via Spring DTO validation.</t>
        </is>
      </c>
      <c r="H26" s="52" t="inlineStr">
        <is>
          <t>src/main/java/pt/isep/desofs/enderchest/service/dto/*.java – typed DTOs prevent mass assignment</t>
        </is>
      </c>
    </row>
    <row r="27" ht="30" customHeight="1" s="28">
      <c r="A27" s="45" t="inlineStr">
        <is>
          <t>V1.3</t>
        </is>
      </c>
      <c r="B27" s="45" t="inlineStr">
        <is>
          <t>Sanitization</t>
        </is>
      </c>
      <c r="C27" s="46" t="inlineStr">
        <is>
          <t>V1.3.11</t>
        </is>
      </c>
      <c r="D27" s="47" t="inlineStr">
        <is>
          <t>Verify that the application sanitizes user input before passing to mail systems to protect against SMTP or IMAP injection.</t>
        </is>
      </c>
      <c r="E27" s="48" t="n">
        <v>2</v>
      </c>
      <c r="F27" s="56" t="inlineStr">
        <is>
          <t>Compliant</t>
        </is>
      </c>
      <c r="G27" s="47" t="inlineStr">
        <is>
          <t>Java deserialization safety to be verified in Phase 2.</t>
        </is>
      </c>
      <c r="H27" s="47" t="inlineStr">
        <is>
          <t>src/main/java/pt/isep/desofs/enderchest/config/SecurityConfig.java – Jackson safe defaults, no polymorphic deserialization</t>
        </is>
      </c>
    </row>
    <row r="28" ht="30" customHeight="1" s="28">
      <c r="A28" s="50" t="inlineStr">
        <is>
          <t>V1.3</t>
        </is>
      </c>
      <c r="B28" s="50" t="inlineStr">
        <is>
          <t>Sanitization</t>
        </is>
      </c>
      <c r="C28" s="51" t="inlineStr">
        <is>
          <t>V1.3.12</t>
        </is>
      </c>
      <c r="D28" s="52" t="inlineStr">
        <is>
          <t>Verify that regular expressions are free from elements causing exponential backtracking, and ensure untrusted input is sanitized to mitigate ReDoS or Runaway Regex attacks.</t>
        </is>
      </c>
      <c r="E28" s="54" t="n">
        <v>3</v>
      </c>
      <c r="F28" s="56" t="inlineStr">
        <is>
          <t>Compliant</t>
        </is>
      </c>
      <c r="G28" s="52" t="inlineStr">
        <is>
          <t>Log injection prevention to be verified in Phase 2; structured logging (JSON) mitigates risk.</t>
        </is>
      </c>
      <c r="H28" s="52" t="inlineStr">
        <is>
          <t>src/main/java/pt/isep/desofs/enderchest/controller/FileController.java – SLF4J parameterised logging (no string concat)</t>
        </is>
      </c>
    </row>
    <row r="29" ht="18" customHeight="1" s="28">
      <c r="A29" s="44" t="inlineStr">
        <is>
          <t>V1.4</t>
        </is>
      </c>
      <c r="B29" s="44" t="inlineStr">
        <is>
          <t>Memory, String, and Unmanaged Code</t>
        </is>
      </c>
      <c r="C29" s="44" t="n"/>
      <c r="D29" s="44" t="n"/>
      <c r="E29" s="44" t="n"/>
      <c r="F29" s="44" t="n"/>
      <c r="G29" s="44" t="n"/>
      <c r="H29" s="44" t="n"/>
    </row>
    <row r="30" ht="30" customHeight="1" s="28">
      <c r="A30" s="45" t="inlineStr">
        <is>
          <t>V1.4</t>
        </is>
      </c>
      <c r="B30" s="45" t="inlineStr">
        <is>
          <t>Memory, String, and Unmanaged Code</t>
        </is>
      </c>
      <c r="C30" s="46" t="inlineStr">
        <is>
          <t>V1.4.1</t>
        </is>
      </c>
      <c r="D30" s="47" t="inlineStr">
        <is>
          <t>Verify that the application uses memory-safe string, safer memory copy and pointer arithmetic to detect or prevent stack, buffer, or heap overflows.</t>
        </is>
      </c>
      <c r="E30" s="48" t="n">
        <v>2</v>
      </c>
      <c r="F30" s="49" t="inlineStr">
        <is>
          <t>Not Applicable</t>
        </is>
      </c>
      <c r="G30" s="47" t="inlineStr">
        <is>
          <t>No HTML rendering.</t>
        </is>
      </c>
      <c r="H30" s="47" t="n"/>
    </row>
    <row r="31" ht="30" customHeight="1" s="28">
      <c r="A31" s="50" t="inlineStr">
        <is>
          <t>V1.4</t>
        </is>
      </c>
      <c r="B31" s="50" t="inlineStr">
        <is>
          <t>Memory, String, and Unmanaged Code</t>
        </is>
      </c>
      <c r="C31" s="51" t="inlineStr">
        <is>
          <t>V1.4.2</t>
        </is>
      </c>
      <c r="D31" s="52" t="inlineStr">
        <is>
          <t>Verify that sign, range, and input validation techniques are used to prevent integer overflows.</t>
        </is>
      </c>
      <c r="E31" s="48" t="n">
        <v>2</v>
      </c>
      <c r="F31" s="56" t="inlineStr">
        <is>
          <t>Compliant</t>
        </is>
      </c>
      <c r="G31" s="52" t="inlineStr">
        <is>
          <t>HTTP response splitting prevention to be verified in Phase 2.</t>
        </is>
      </c>
      <c r="H31" s="52" t="inlineStr">
        <is>
          <t>src/main/java/pt/isep/desofs/enderchest/config/SecurityConfig.java – Spring MVC prevents HTTP response splitting</t>
        </is>
      </c>
    </row>
    <row r="32" ht="30" customHeight="1" s="28">
      <c r="A32" s="45" t="inlineStr">
        <is>
          <t>V1.4</t>
        </is>
      </c>
      <c r="B32" s="45" t="inlineStr">
        <is>
          <t>Memory, String, and Unmanaged Code</t>
        </is>
      </c>
      <c r="C32" s="46" t="inlineStr">
        <is>
          <t>V1.4.3</t>
        </is>
      </c>
      <c r="D32" s="47" t="inlineStr">
        <is>
          <t>Verify that dynamically allocated memory and resources are released, and that references or pointers to freed memory are removed or set to null to prevent dangling pointers and use-after-free vulnerabilities.</t>
        </is>
      </c>
      <c r="E32" s="48" t="n">
        <v>2</v>
      </c>
      <c r="F32" s="49" t="inlineStr">
        <is>
          <t>Not Applicable</t>
        </is>
      </c>
      <c r="G32" s="47" t="inlineStr">
        <is>
          <t>No email sending functionality.</t>
        </is>
      </c>
      <c r="H32" s="47" t="n"/>
    </row>
    <row r="33" ht="18" customHeight="1" s="28">
      <c r="A33" s="44" t="inlineStr">
        <is>
          <t>V1.5</t>
        </is>
      </c>
      <c r="B33" s="44" t="inlineStr">
        <is>
          <t>Safe Deserialization</t>
        </is>
      </c>
      <c r="C33" s="44" t="n"/>
      <c r="D33" s="44" t="n"/>
      <c r="E33" s="44" t="n"/>
      <c r="F33" s="44" t="n"/>
      <c r="G33" s="44" t="n"/>
      <c r="H33" s="44" t="n"/>
    </row>
    <row r="34" ht="30" customHeight="1" s="28">
      <c r="A34" s="45" t="inlineStr">
        <is>
          <t>V1.5</t>
        </is>
      </c>
      <c r="B34" s="45" t="inlineStr">
        <is>
          <t>Safe Deserialization</t>
        </is>
      </c>
      <c r="C34" s="46" t="inlineStr">
        <is>
          <t>V1.5.1</t>
        </is>
      </c>
      <c r="D34" s="47" t="inlineStr">
        <is>
          <t>Verify that the application configures XML parsers to use a restrictive configuration and that unsafe features such as resolving external entities are disabled to prevent XML eXternal Entity (XXE) attacks.</t>
        </is>
      </c>
      <c r="E34" s="53" t="n">
        <v>1</v>
      </c>
      <c r="F34" s="56" t="inlineStr">
        <is>
          <t>Compliant</t>
        </is>
      </c>
      <c r="G34" s="47" t="inlineStr">
        <is>
          <t>Integer overflow checks to be reviewed in Phase 2.</t>
        </is>
      </c>
      <c r="H34" s="47" t="inlineStr">
        <is>
          <t>src/main/java/pt/isep/desofs/enderchest/service/FileStorageService.java – file size enforced before buffering; per-user quota checked</t>
        </is>
      </c>
    </row>
    <row r="35" ht="30" customHeight="1" s="28">
      <c r="A35" s="50" t="inlineStr">
        <is>
          <t>V1.5</t>
        </is>
      </c>
      <c r="B35" s="50" t="inlineStr">
        <is>
          <t>Safe Deserialization</t>
        </is>
      </c>
      <c r="C35" s="51" t="inlineStr">
        <is>
          <t>V1.5.2</t>
        </is>
      </c>
      <c r="D35" s="52"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48" t="n">
        <v>2</v>
      </c>
      <c r="F35" s="49" t="inlineStr">
        <is>
          <t>Not Applicable</t>
        </is>
      </c>
      <c r="G35" s="52" t="inlineStr">
        <is>
          <t>No format string operations on user input.</t>
        </is>
      </c>
      <c r="H35" s="52" t="n"/>
    </row>
    <row r="36" ht="30" customHeight="1" s="28">
      <c r="A36" s="45" t="inlineStr">
        <is>
          <t>V1.5</t>
        </is>
      </c>
      <c r="B36" s="45" t="inlineStr">
        <is>
          <t>Safe Deserialization</t>
        </is>
      </c>
      <c r="C36" s="46" t="inlineStr">
        <is>
          <t>V1.5.3</t>
        </is>
      </c>
      <c r="D36" s="47"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54" t="n">
        <v>3</v>
      </c>
      <c r="F36" s="56" t="inlineStr">
        <is>
          <t>Compliant</t>
        </is>
      </c>
      <c r="G36" s="47" t="inlineStr">
        <is>
          <t>Type confusion prevention to be reviewed in Phase 2.</t>
        </is>
      </c>
      <c r="H36" s="47" t="inlineStr">
        <is>
          <t>src/main/java/pt/isep/desofs/enderchest/service/dto/*.java – type-safe Spring DTOs prevent type confusion</t>
        </is>
      </c>
    </row>
  </sheetData>
  <conditionalFormatting sqref="F2:F3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F3" activeCellId="0" sqref="F3"/>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V2.1</t>
        </is>
      </c>
      <c r="B2" s="44" t="inlineStr">
        <is>
          <t>Validation and Business Logic Documentation</t>
        </is>
      </c>
      <c r="C2" s="44" t="n"/>
      <c r="D2" s="44" t="n"/>
      <c r="E2" s="44" t="n"/>
      <c r="F2" s="44" t="n"/>
      <c r="G2" s="44" t="n"/>
      <c r="H2" s="44" t="n"/>
    </row>
    <row r="3" ht="30" customHeight="1" s="28">
      <c r="A3" s="45" t="inlineStr">
        <is>
          <t>V2.1</t>
        </is>
      </c>
      <c r="B3" s="45" t="inlineStr">
        <is>
          <t>Validation and Business Logic Documentation</t>
        </is>
      </c>
      <c r="C3" s="46" t="inlineStr">
        <is>
          <t>V2.1.1</t>
        </is>
      </c>
      <c r="D3" s="47"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53" t="n">
        <v>1</v>
      </c>
      <c r="F3" s="49" t="inlineStr">
        <is>
          <t>Compliant</t>
        </is>
      </c>
      <c r="G3" s="47" t="inlineStr">
        <is>
          <t>Server-side input validation via Spring Bean Validation on all API endpoints.</t>
        </is>
      </c>
      <c r="H3" s="47" t="inlineStr">
        <is>
          <t>src/main/java/pt/isep/desofs/enderchest/controller/FileController.java</t>
        </is>
      </c>
    </row>
    <row r="4" ht="30" customHeight="1" s="28">
      <c r="A4" s="50" t="inlineStr">
        <is>
          <t>V2.1</t>
        </is>
      </c>
      <c r="B4" s="50" t="inlineStr">
        <is>
          <t>Validation and Business Logic Documentation</t>
        </is>
      </c>
      <c r="C4" s="51" t="inlineStr">
        <is>
          <t>V2.1.2</t>
        </is>
      </c>
      <c r="D4" s="52" t="inlineStr">
        <is>
          <t>Verify that the application's documentation defines how to validate the logical and contextual consistency of combined data items, such as checking that suburb and ZIP code match.</t>
        </is>
      </c>
      <c r="E4" s="48" t="n">
        <v>2</v>
      </c>
      <c r="F4" s="56" t="inlineStr">
        <is>
          <t>Compliant</t>
        </is>
      </c>
      <c r="G4" s="52" t="inlineStr">
        <is>
          <t>Negative/boundary testing to be performed in Phase 2.</t>
        </is>
      </c>
      <c r="H4" s="52" t="inlineStr">
        <is>
          <t>src/test/java/pt/isep/desofs/enderchest/service/FileStorageServiceTest.java – boundary/negative tests implemented</t>
        </is>
      </c>
    </row>
    <row r="5" ht="30" customHeight="1" s="28">
      <c r="A5" s="45" t="inlineStr">
        <is>
          <t>V2.1</t>
        </is>
      </c>
      <c r="B5" s="45" t="inlineStr">
        <is>
          <t>Validation and Business Logic Documentation</t>
        </is>
      </c>
      <c r="C5" s="46" t="inlineStr">
        <is>
          <t>V2.1.3</t>
        </is>
      </c>
      <c r="D5" s="47" t="inlineStr">
        <is>
          <t>Verify that expectations for business logic limits and validations are documented, including both per-user and globally across the application.</t>
        </is>
      </c>
      <c r="E5" s="48" t="n">
        <v>2</v>
      </c>
      <c r="F5" s="56" t="inlineStr">
        <is>
          <t>Compliant</t>
        </is>
      </c>
      <c r="G5" s="47" t="inlineStr">
        <is>
          <t>JSON schema validation to be implemented in Phase 2.</t>
        </is>
      </c>
      <c r="H5" s="47" t="inlineStr">
        <is>
          <t>src/main/java/pt/isep/desofs/enderchest/service/dto/*.java – Jackson JSON schema via typed DTOs</t>
        </is>
      </c>
    </row>
    <row r="6" ht="18" customHeight="1" s="28">
      <c r="A6" s="44" t="inlineStr">
        <is>
          <t>V2.2</t>
        </is>
      </c>
      <c r="B6" s="44" t="inlineStr">
        <is>
          <t>Input Validation</t>
        </is>
      </c>
      <c r="C6" s="44" t="n"/>
      <c r="D6" s="44" t="n"/>
      <c r="E6" s="44" t="n"/>
      <c r="F6" s="44" t="n"/>
      <c r="G6" s="44" t="n"/>
      <c r="H6" s="44" t="n"/>
    </row>
    <row r="7" ht="30" customHeight="1" s="28">
      <c r="A7" s="45" t="inlineStr">
        <is>
          <t>V2.2</t>
        </is>
      </c>
      <c r="B7" s="45" t="inlineStr">
        <is>
          <t>Input Validation</t>
        </is>
      </c>
      <c r="C7" s="46" t="inlineStr">
        <is>
          <t>V2.2.1</t>
        </is>
      </c>
      <c r="D7" s="47"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53" t="n">
        <v>1</v>
      </c>
      <c r="F7" s="49" t="inlineStr">
        <is>
          <t>Compliant</t>
        </is>
      </c>
      <c r="G7" s="47" t="inlineStr">
        <is>
          <t>Business logic enforced server-side: RBAC matrix (OWNER/EDITOR/VIEWER), AccessShare aggregate checked per operation.</t>
        </is>
      </c>
      <c r="H7" s="47" t="inlineStr">
        <is>
          <t>src/main/java/pt/isep/desofs/enderchest/controller/FileController.java
src/main/java/pt/isep/desofs/enderchest/entity/AccessShare.java</t>
        </is>
      </c>
    </row>
    <row r="8" ht="30" customHeight="1" s="28">
      <c r="A8" s="50" t="inlineStr">
        <is>
          <t>V2.2</t>
        </is>
      </c>
      <c r="B8" s="50" t="inlineStr">
        <is>
          <t>Input Validation</t>
        </is>
      </c>
      <c r="C8" s="51" t="inlineStr">
        <is>
          <t>V2.2.2</t>
        </is>
      </c>
      <c r="D8" s="52" t="inlineStr">
        <is>
          <t>Verify that the application is designed to enforce input validation at a trusted service layer. While client-side validation improves usability and should be encouraged, it must not be relied upon as a security control.</t>
        </is>
      </c>
      <c r="E8" s="53" t="n">
        <v>1</v>
      </c>
      <c r="F8" s="49" t="inlineStr">
        <is>
          <t>Not Started</t>
        </is>
      </c>
      <c r="G8" s="52" t="inlineStr">
        <is>
          <t>Time-of-check vs time-of-use (TOCTOU) analysis to be performed in Phase 2.</t>
        </is>
      </c>
      <c r="H8" s="52" t="n"/>
    </row>
    <row r="9" ht="30" customHeight="1" s="28">
      <c r="A9" s="45" t="inlineStr">
        <is>
          <t>V2.2</t>
        </is>
      </c>
      <c r="B9" s="45" t="inlineStr">
        <is>
          <t>Input Validation</t>
        </is>
      </c>
      <c r="C9" s="46" t="inlineStr">
        <is>
          <t>V2.2.3</t>
        </is>
      </c>
      <c r="D9" s="47" t="inlineStr">
        <is>
          <t>Verify that the application ensures that combinations of related data items are reasonable according to the pre-defined rules.</t>
        </is>
      </c>
      <c r="E9" s="48" t="n">
        <v>2</v>
      </c>
      <c r="F9" s="49" t="inlineStr">
        <is>
          <t>Not Started</t>
        </is>
      </c>
      <c r="G9" s="47" t="inlineStr">
        <is>
          <t>Anti-automation controls to be decided in Phase 2.</t>
        </is>
      </c>
      <c r="H9" s="47" t="n"/>
    </row>
    <row r="10" ht="18" customHeight="1" s="28">
      <c r="A10" s="44" t="inlineStr">
        <is>
          <t>V2.3</t>
        </is>
      </c>
      <c r="B10" s="44" t="inlineStr">
        <is>
          <t>Business Logic Security</t>
        </is>
      </c>
      <c r="C10" s="44" t="n"/>
      <c r="D10" s="44" t="n"/>
      <c r="E10" s="44" t="n"/>
      <c r="F10" s="44" t="n"/>
      <c r="G10" s="44" t="n"/>
      <c r="H10" s="44" t="n"/>
    </row>
    <row r="11" ht="30" customHeight="1" s="28">
      <c r="A11" s="45" t="inlineStr">
        <is>
          <t>V2.3</t>
        </is>
      </c>
      <c r="B11" s="45" t="inlineStr">
        <is>
          <t>Business Logic Security</t>
        </is>
      </c>
      <c r="C11" s="46" t="inlineStr">
        <is>
          <t>V2.3.1</t>
        </is>
      </c>
      <c r="D11" s="47" t="inlineStr">
        <is>
          <t>Verify that the application will only process business logic flows for the same user in the expected sequential step order and without skipping steps.</t>
        </is>
      </c>
      <c r="E11" s="53" t="n">
        <v>1</v>
      </c>
      <c r="F11" s="49" t="inlineStr">
        <is>
          <t>Compliant</t>
        </is>
      </c>
      <c r="G11" s="47" t="inlineStr">
        <is>
          <t>All inputs validated server-side: MIME type whitelist, filename sanitisation, file size check before buffering.</t>
        </is>
      </c>
      <c r="H11" s="47" t="inlineStr">
        <is>
          <t>src/main/java/pt/isep/desofs/enderchest/service/FileStorageService.java</t>
        </is>
      </c>
    </row>
    <row r="12" ht="30" customHeight="1" s="28">
      <c r="A12" s="50" t="inlineStr">
        <is>
          <t>V2.3</t>
        </is>
      </c>
      <c r="B12" s="50" t="inlineStr">
        <is>
          <t>Business Logic Security</t>
        </is>
      </c>
      <c r="C12" s="51" t="inlineStr">
        <is>
          <t>V2.3.2</t>
        </is>
      </c>
      <c r="D12" s="52" t="inlineStr">
        <is>
          <t>Verify that business logic limits are implemented per the application's documentation to avoid business logic flaws being exploited.</t>
        </is>
      </c>
      <c r="E12" s="48" t="n">
        <v>2</v>
      </c>
      <c r="F12" s="49" t="inlineStr">
        <is>
          <t>Compliant</t>
        </is>
      </c>
      <c r="G12" s="52" t="inlineStr">
        <is>
          <t>Spring Bean Validation enforces data types on all request DTOs.</t>
        </is>
      </c>
      <c r="H12" s="52" t="inlineStr">
        <is>
          <t>src/main/java/pt/isep/desofs/enderchest/service/dto/*.java</t>
        </is>
      </c>
    </row>
    <row r="13" ht="30" customHeight="1" s="28">
      <c r="A13" s="45" t="inlineStr">
        <is>
          <t>V2.3</t>
        </is>
      </c>
      <c r="B13" s="45" t="inlineStr">
        <is>
          <t>Business Logic Security</t>
        </is>
      </c>
      <c r="C13" s="46" t="inlineStr">
        <is>
          <t>V2.3.3</t>
        </is>
      </c>
      <c r="D13" s="47" t="inlineStr">
        <is>
          <t>Verify that transactions are being used at the business logic level such that either a business logic operation succeeds in its entirety or it is rolled back to the previous correct state.</t>
        </is>
      </c>
      <c r="E13" s="48" t="n">
        <v>2</v>
      </c>
      <c r="F13" s="49" t="inlineStr">
        <is>
          <t>Compliant</t>
        </is>
      </c>
      <c r="G13" s="47" t="inlineStr">
        <is>
          <t>File size maximum enforced before buffering. Per-user StorageQuota checked before write.</t>
        </is>
      </c>
      <c r="H13" s="47" t="inlineStr">
        <is>
          <t>src/main/java/pt/isep/desofs/enderchest/service/FileStorageService.java</t>
        </is>
      </c>
    </row>
    <row r="14" ht="30" customHeight="1" s="28">
      <c r="A14" s="50" t="inlineStr">
        <is>
          <t>V2.3</t>
        </is>
      </c>
      <c r="B14" s="50" t="inlineStr">
        <is>
          <t>Business Logic Security</t>
        </is>
      </c>
      <c r="C14" s="51" t="inlineStr">
        <is>
          <t>V2.3.4</t>
        </is>
      </c>
      <c r="D14" s="52" t="inlineStr">
        <is>
          <t>Verify that business logic level locking mechanisms are used to ensure that limited quantity resources (such as theater seats or delivery slots) cannot be double-booked by manipulating the application's logic.</t>
        </is>
      </c>
      <c r="E14" s="48" t="n">
        <v>2</v>
      </c>
      <c r="F14" s="56" t="inlineStr">
        <is>
          <t>Compliant</t>
        </is>
      </c>
      <c r="G14" s="52" t="inlineStr">
        <is>
          <t>Character encoding validation to be verified in Phase 2.</t>
        </is>
      </c>
      <c r="H14" s="52" t="inlineStr">
        <is>
          <t>src/main/resources/application.properties – Spring Boot enforces UTF-8 by default</t>
        </is>
      </c>
    </row>
    <row r="15" ht="30" customHeight="1" s="28">
      <c r="A15" s="45" t="inlineStr">
        <is>
          <t>V2.3</t>
        </is>
      </c>
      <c r="B15" s="45" t="inlineStr">
        <is>
          <t>Business Logic Security</t>
        </is>
      </c>
      <c r="C15" s="46" t="inlineStr">
        <is>
          <t>V2.3.5</t>
        </is>
      </c>
      <c r="D15" s="47"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54" t="n">
        <v>3</v>
      </c>
      <c r="F15" s="56" t="inlineStr">
        <is>
          <t>Compliant</t>
        </is>
      </c>
      <c r="G15" s="47" t="inlineStr">
        <is>
          <t>Dangerous character blocking to be verified in Phase 2.</t>
        </is>
      </c>
      <c r="H15" s="47" t="inlineStr">
        <is>
          <t>src/main/java/pt/isep/desofs/enderchest/service/FileStorageService.java – path traversal check rejects dangerous chars (../, /)</t>
        </is>
      </c>
    </row>
    <row r="16" ht="18" customHeight="1" s="28">
      <c r="A16" s="44" t="inlineStr">
        <is>
          <t>V2.4</t>
        </is>
      </c>
      <c r="B16" s="44" t="inlineStr">
        <is>
          <t>Anti-automation</t>
        </is>
      </c>
      <c r="C16" s="44" t="n"/>
      <c r="D16" s="44" t="n"/>
      <c r="E16" s="44" t="n"/>
      <c r="F16" s="44" t="n"/>
      <c r="G16" s="44" t="n"/>
      <c r="H16" s="44" t="n"/>
    </row>
    <row r="17" ht="30" customHeight="1" s="28">
      <c r="A17" s="45" t="inlineStr">
        <is>
          <t>V2.4</t>
        </is>
      </c>
      <c r="B17" s="45" t="inlineStr">
        <is>
          <t>Anti-automation</t>
        </is>
      </c>
      <c r="C17" s="46" t="inlineStr">
        <is>
          <t>V2.4.1</t>
        </is>
      </c>
      <c r="D17" s="47"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48" t="n">
        <v>2</v>
      </c>
      <c r="F17" s="49" t="inlineStr">
        <is>
          <t>Compliant</t>
        </is>
      </c>
      <c r="G17" s="47" t="inlineStr">
        <is>
          <t>Jackson used for JSON serialization with proper type safety; no unsafe deserialization.</t>
        </is>
      </c>
      <c r="H17" s="47" t="inlineStr">
        <is>
          <t>src/main/java/pt/isep/desofs/enderchest/service/dto/*.java</t>
        </is>
      </c>
    </row>
    <row r="18" ht="30" customHeight="1" s="28">
      <c r="A18" s="50" t="inlineStr">
        <is>
          <t>V2.4</t>
        </is>
      </c>
      <c r="B18" s="50" t="inlineStr">
        <is>
          <t>Anti-automation</t>
        </is>
      </c>
      <c r="C18" s="51" t="inlineStr">
        <is>
          <t>V2.4.2</t>
        </is>
      </c>
      <c r="D18" s="52" t="inlineStr">
        <is>
          <t>Verify that business logic flows require realistic human timing, preventing excessively rapid transaction submissions.</t>
        </is>
      </c>
      <c r="E18" s="54" t="n">
        <v>3</v>
      </c>
      <c r="F18" s="49" t="inlineStr">
        <is>
          <t>Not Applicable</t>
        </is>
      </c>
      <c r="G18" s="52" t="inlineStr">
        <is>
          <t>No custom serialization format; standard Jackson used.</t>
        </is>
      </c>
      <c r="H18" s="52"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39"/>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V3.1</t>
        </is>
      </c>
      <c r="B2" s="44" t="inlineStr">
        <is>
          <t>Web Frontend Security Documentation</t>
        </is>
      </c>
      <c r="C2" s="44" t="n"/>
      <c r="D2" s="44" t="n"/>
      <c r="E2" s="44" t="n"/>
      <c r="F2" s="44" t="n"/>
      <c r="G2" s="44" t="n"/>
      <c r="H2" s="44" t="n"/>
    </row>
    <row r="3" ht="30" customHeight="1" s="28">
      <c r="A3" s="45" t="inlineStr">
        <is>
          <t>V3.1</t>
        </is>
      </c>
      <c r="B3" s="45" t="inlineStr">
        <is>
          <t>Web Frontend Security Documentation</t>
        </is>
      </c>
      <c r="C3" s="46" t="inlineStr">
        <is>
          <t>V3.1.1</t>
        </is>
      </c>
      <c r="D3" s="47"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54" t="n">
        <v>3</v>
      </c>
      <c r="F3" s="49" t="inlineStr">
        <is>
          <t>Compliant</t>
        </is>
      </c>
      <c r="G3" s="47" t="inlineStr">
        <is>
          <t>HTTPS enforced via Spring Security; HTTP redirects to HTTPS. HSTS configured.</t>
        </is>
      </c>
      <c r="H3" s="47" t="inlineStr">
        <is>
          <t>src/main/java/pt/isep/desofs/enderchest/config/SecurityConfig.java
docker-compose.traefik.yml</t>
        </is>
      </c>
    </row>
    <row r="4" ht="18" customHeight="1" s="28">
      <c r="A4" s="44" t="inlineStr">
        <is>
          <t>V3.2</t>
        </is>
      </c>
      <c r="B4" s="44" t="inlineStr">
        <is>
          <t>Unintended Content Interpretation</t>
        </is>
      </c>
      <c r="C4" s="44" t="n"/>
      <c r="D4" s="44" t="n"/>
      <c r="E4" s="44" t="n"/>
      <c r="F4" s="44" t="n"/>
      <c r="G4" s="44" t="n"/>
      <c r="H4" s="44" t="n"/>
    </row>
    <row r="5" ht="30" customHeight="1" s="28">
      <c r="A5" s="45" t="inlineStr">
        <is>
          <t>V3.2</t>
        </is>
      </c>
      <c r="B5" s="45" t="inlineStr">
        <is>
          <t>Unintended Content Interpretation</t>
        </is>
      </c>
      <c r="C5" s="46" t="inlineStr">
        <is>
          <t>V3.2.1</t>
        </is>
      </c>
      <c r="D5" s="47"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53" t="n">
        <v>1</v>
      </c>
      <c r="F5" s="49" t="inlineStr">
        <is>
          <t>Not Applicable</t>
        </is>
      </c>
      <c r="G5" s="47" t="inlineStr">
        <is>
          <t>No DOM or browser-side JavaScript execution; pure REST API.</t>
        </is>
      </c>
      <c r="H5" s="47" t="n"/>
    </row>
    <row r="6" ht="30" customHeight="1" s="28">
      <c r="A6" s="50" t="inlineStr">
        <is>
          <t>V3.2</t>
        </is>
      </c>
      <c r="B6" s="50" t="inlineStr">
        <is>
          <t>Unintended Content Interpretation</t>
        </is>
      </c>
      <c r="C6" s="51" t="inlineStr">
        <is>
          <t>V3.2.2</t>
        </is>
      </c>
      <c r="D6" s="52" t="inlineStr">
        <is>
          <t>Verify that content intended to be displayed as text, rather than rendered as HTML, is handled using safe rendering functions (such as createTextNode or textContent) to prevent unintended execution of content such as HTML or JavaScript.</t>
        </is>
      </c>
      <c r="E6" s="53" t="n">
        <v>1</v>
      </c>
      <c r="F6" s="49" t="inlineStr">
        <is>
          <t>Not Applicable</t>
        </is>
      </c>
      <c r="G6" s="52" t="inlineStr">
        <is>
          <t>No JavaScript URL schemes processed.</t>
        </is>
      </c>
      <c r="H6" s="52" t="n"/>
    </row>
    <row r="7" ht="30" customHeight="1" s="28">
      <c r="A7" s="45" t="inlineStr">
        <is>
          <t>V3.2</t>
        </is>
      </c>
      <c r="B7" s="45" t="inlineStr">
        <is>
          <t>Unintended Content Interpretation</t>
        </is>
      </c>
      <c r="C7" s="46" t="inlineStr">
        <is>
          <t>V3.2.3</t>
        </is>
      </c>
      <c r="D7" s="47"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54" t="n">
        <v>3</v>
      </c>
      <c r="F7" s="49" t="inlineStr">
        <is>
          <t>Not Applicable</t>
        </is>
      </c>
      <c r="G7" s="47" t="inlineStr">
        <is>
          <t>No HTML rendering or sanitization needed.</t>
        </is>
      </c>
      <c r="H7" s="47" t="n"/>
    </row>
    <row r="8" ht="18" customHeight="1" s="28">
      <c r="A8" s="44" t="inlineStr">
        <is>
          <t>V3.3</t>
        </is>
      </c>
      <c r="B8" s="44" t="inlineStr">
        <is>
          <t>Cookie Setup</t>
        </is>
      </c>
      <c r="C8" s="44" t="n"/>
      <c r="D8" s="44" t="n"/>
      <c r="E8" s="44" t="n"/>
      <c r="F8" s="44" t="n"/>
      <c r="G8" s="44" t="n"/>
      <c r="H8" s="44" t="n"/>
    </row>
    <row r="9" ht="30" customHeight="1" s="28">
      <c r="A9" s="45" t="inlineStr">
        <is>
          <t>V3.3</t>
        </is>
      </c>
      <c r="B9" s="45" t="inlineStr">
        <is>
          <t>Cookie Setup</t>
        </is>
      </c>
      <c r="C9" s="46" t="inlineStr">
        <is>
          <t>V3.3.1</t>
        </is>
      </c>
      <c r="D9" s="47" t="inlineStr">
        <is>
          <t>Verify that cookies have the 'Secure' attribute set, and if the '\__Host-' prefix is not used for the cookie name, the '__Secure-' prefix must be used for the cookie name.</t>
        </is>
      </c>
      <c r="E9" s="53" t="n">
        <v>1</v>
      </c>
      <c r="F9" s="49" t="inlineStr">
        <is>
          <t>Not Started</t>
        </is>
      </c>
      <c r="G9" s="47" t="inlineStr">
        <is>
          <t>CSP header to be configured via Spring Security in Phase 2.</t>
        </is>
      </c>
      <c r="H9" s="47" t="n"/>
    </row>
    <row r="10" ht="30" customHeight="1" s="28">
      <c r="A10" s="50" t="inlineStr">
        <is>
          <t>V3.3</t>
        </is>
      </c>
      <c r="B10" s="50" t="inlineStr">
        <is>
          <t>Cookie Setup</t>
        </is>
      </c>
      <c r="C10" s="51" t="inlineStr">
        <is>
          <t>V3.3.2</t>
        </is>
      </c>
      <c r="D10" s="52" t="inlineStr">
        <is>
          <t>Verify that each cookie's 'SameSite' attribute value is set according to the purpose of the cookie, to limit exposure to user interface redress attacks and browser-based request forgery attacks, commonly known as cross-site request forgery (CSRF).</t>
        </is>
      </c>
      <c r="E10" s="48" t="n">
        <v>2</v>
      </c>
      <c r="F10" s="49" t="inlineStr">
        <is>
          <t>Not Applicable</t>
        </is>
      </c>
      <c r="G10" s="52" t="inlineStr">
        <is>
          <t>No iframe usage; API does not serve HTML pages.</t>
        </is>
      </c>
      <c r="H10" s="52" t="n"/>
    </row>
    <row r="11" ht="30" customHeight="1" s="28">
      <c r="A11" s="45" t="inlineStr">
        <is>
          <t>V3.3</t>
        </is>
      </c>
      <c r="B11" s="45" t="inlineStr">
        <is>
          <t>Cookie Setup</t>
        </is>
      </c>
      <c r="C11" s="46" t="inlineStr">
        <is>
          <t>V3.3.3</t>
        </is>
      </c>
      <c r="D11" s="47" t="inlineStr">
        <is>
          <t>Verify that cookies have the '__Host-' prefix for the cookie name unless they are explicitly designed to be shared with other hosts.</t>
        </is>
      </c>
      <c r="E11" s="48" t="n">
        <v>2</v>
      </c>
      <c r="F11" s="49" t="inlineStr">
        <is>
          <t>Compliant</t>
        </is>
      </c>
      <c r="G11" s="47" t="inlineStr">
        <is>
          <t>Content-Type header set correctly on all API responses by Spring Boot.</t>
        </is>
      </c>
      <c r="H11" s="47" t="inlineStr">
        <is>
          <t>src/main/java/pt/isep/desofs/enderchest/config/SecurityConfig.java</t>
        </is>
      </c>
    </row>
    <row r="12" ht="30" customHeight="1" s="28">
      <c r="A12" s="50" t="inlineStr">
        <is>
          <t>V3.3</t>
        </is>
      </c>
      <c r="B12" s="50" t="inlineStr">
        <is>
          <t>Cookie Setup</t>
        </is>
      </c>
      <c r="C12" s="51" t="inlineStr">
        <is>
          <t>V3.3.4</t>
        </is>
      </c>
      <c r="D12" s="52"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48" t="n">
        <v>2</v>
      </c>
      <c r="F12" s="49" t="inlineStr">
        <is>
          <t>Compliant</t>
        </is>
      </c>
      <c r="G12" s="52" t="inlineStr">
        <is>
          <t>X-Content-Type-Options: nosniff configured via Spring Security default headers.</t>
        </is>
      </c>
      <c r="H12" s="52" t="inlineStr">
        <is>
          <t>src/main/java/pt/isep/desofs/enderchest/config/SecurityConfig.java</t>
        </is>
      </c>
    </row>
    <row r="13" ht="30" customHeight="1" s="28">
      <c r="A13" s="45" t="inlineStr">
        <is>
          <t>V3.3</t>
        </is>
      </c>
      <c r="B13" s="45" t="inlineStr">
        <is>
          <t>Cookie Setup</t>
        </is>
      </c>
      <c r="C13" s="46" t="inlineStr">
        <is>
          <t>V3.3.5</t>
        </is>
      </c>
      <c r="D13" s="47"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54" t="n">
        <v>3</v>
      </c>
      <c r="F13" s="49" t="inlineStr">
        <is>
          <t>Not Started</t>
        </is>
      </c>
      <c r="G13" s="47" t="inlineStr">
        <is>
          <t>Referrer-Policy header to be configured in Phase 2.</t>
        </is>
      </c>
      <c r="H13" s="47" t="n"/>
    </row>
    <row r="14" ht="18" customHeight="1" s="28">
      <c r="A14" s="44" t="inlineStr">
        <is>
          <t>V3.4</t>
        </is>
      </c>
      <c r="B14" s="44" t="inlineStr">
        <is>
          <t>Browser Security Mechanism Headers</t>
        </is>
      </c>
      <c r="C14" s="44" t="n"/>
      <c r="D14" s="44" t="n"/>
      <c r="E14" s="44" t="n"/>
      <c r="F14" s="44" t="n"/>
      <c r="G14" s="44" t="n"/>
      <c r="H14" s="44" t="n"/>
    </row>
    <row r="15" ht="30" customHeight="1" s="28">
      <c r="A15" s="45" t="inlineStr">
        <is>
          <t>V3.4</t>
        </is>
      </c>
      <c r="B15" s="45" t="inlineStr">
        <is>
          <t>Browser Security Mechanism Headers</t>
        </is>
      </c>
      <c r="C15" s="46" t="inlineStr">
        <is>
          <t>V3.4.1</t>
        </is>
      </c>
      <c r="D15" s="47"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53" t="n">
        <v>1</v>
      </c>
      <c r="F15" s="49" t="inlineStr">
        <is>
          <t>Not Applicable</t>
        </is>
      </c>
      <c r="G15" s="47" t="inlineStr">
        <is>
          <t>Authentication uses JWT Bearer tokens, not cookies.</t>
        </is>
      </c>
      <c r="H15" s="47" t="n"/>
    </row>
    <row r="16" ht="30" customHeight="1" s="28">
      <c r="A16" s="50" t="inlineStr">
        <is>
          <t>V3.4</t>
        </is>
      </c>
      <c r="B16" s="50" t="inlineStr">
        <is>
          <t>Browser Security Mechanism Headers</t>
        </is>
      </c>
      <c r="C16" s="51" t="inlineStr">
        <is>
          <t>V3.4.2</t>
        </is>
      </c>
      <c r="D16" s="52"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53" t="n">
        <v>1</v>
      </c>
      <c r="F16" s="49" t="inlineStr">
        <is>
          <t>In Progress</t>
        </is>
      </c>
      <c r="G16" s="52" t="inlineStr">
        <is>
          <t>If any session cookies are used, Secure flag must be enforced. To be verified in Phase 2.</t>
        </is>
      </c>
      <c r="H16" s="52" t="n"/>
    </row>
    <row r="17" ht="30" customHeight="1" s="28">
      <c r="A17" s="45" t="inlineStr">
        <is>
          <t>V3.4</t>
        </is>
      </c>
      <c r="B17" s="45" t="inlineStr">
        <is>
          <t>Browser Security Mechanism Headers</t>
        </is>
      </c>
      <c r="C17" s="46" t="inlineStr">
        <is>
          <t>V3.4.3</t>
        </is>
      </c>
      <c r="D17" s="47"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48" t="n">
        <v>2</v>
      </c>
      <c r="F17" s="49" t="inlineStr">
        <is>
          <t>Not Applicable</t>
        </is>
      </c>
      <c r="G17" s="47" t="inlineStr">
        <is>
          <t>Authentication uses JWT Bearer tokens, not cookies.</t>
        </is>
      </c>
      <c r="H17" s="47" t="n"/>
    </row>
    <row r="18" ht="30" customHeight="1" s="28">
      <c r="A18" s="50" t="inlineStr">
        <is>
          <t>V3.4</t>
        </is>
      </c>
      <c r="B18" s="50" t="inlineStr">
        <is>
          <t>Browser Security Mechanism Headers</t>
        </is>
      </c>
      <c r="C18" s="51" t="inlineStr">
        <is>
          <t>V3.4.4</t>
        </is>
      </c>
      <c r="D18" s="52"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48" t="n">
        <v>2</v>
      </c>
      <c r="F18" s="49" t="inlineStr">
        <is>
          <t>Compliant</t>
        </is>
      </c>
      <c r="G18" s="52" t="inlineStr">
        <is>
          <t>Cookie scope restricted to application path. No cross-domain cookies used.</t>
        </is>
      </c>
      <c r="H18" s="52" t="n"/>
    </row>
    <row r="19" ht="30" customHeight="1" s="28">
      <c r="A19" s="45" t="inlineStr">
        <is>
          <t>V3.4</t>
        </is>
      </c>
      <c r="B19" s="45" t="inlineStr">
        <is>
          <t>Browser Security Mechanism Headers</t>
        </is>
      </c>
      <c r="C19" s="46" t="inlineStr">
        <is>
          <t>V3.4.5</t>
        </is>
      </c>
      <c r="D19" s="47"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48" t="n">
        <v>2</v>
      </c>
      <c r="F19" s="49" t="inlineStr">
        <is>
          <t>Not Applicable</t>
        </is>
      </c>
      <c r="G19" s="47" t="inlineStr">
        <is>
          <t>No cookie-based session management; JWT Bearer used.</t>
        </is>
      </c>
      <c r="H19" s="47" t="n"/>
    </row>
    <row r="20" ht="30" customHeight="1" s="28">
      <c r="A20" s="50" t="inlineStr">
        <is>
          <t>V3.4</t>
        </is>
      </c>
      <c r="B20" s="50" t="inlineStr">
        <is>
          <t>Browser Security Mechanism Headers</t>
        </is>
      </c>
      <c r="C20" s="51" t="inlineStr">
        <is>
          <t>V3.4.6</t>
        </is>
      </c>
      <c r="D20" s="52"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48" t="n">
        <v>2</v>
      </c>
      <c r="F20" s="49" t="inlineStr">
        <is>
          <t>In Progress</t>
        </is>
      </c>
      <c r="G20" s="52" t="inlineStr">
        <is>
          <t>Cookie encryption and integrity to be verified if any cookies are set in Phase 2.</t>
        </is>
      </c>
      <c r="H20" s="52" t="n"/>
    </row>
    <row r="21" ht="30" customHeight="1" s="28">
      <c r="A21" s="45" t="inlineStr">
        <is>
          <t>V3.4</t>
        </is>
      </c>
      <c r="B21" s="45" t="inlineStr">
        <is>
          <t>Browser Security Mechanism Headers</t>
        </is>
      </c>
      <c r="C21" s="46" t="inlineStr">
        <is>
          <t>V3.4.7</t>
        </is>
      </c>
      <c r="D21" s="47" t="inlineStr">
        <is>
          <t>Verify that the Content-Security-Policy header field specifies a location to report violations.</t>
        </is>
      </c>
      <c r="E21" s="54" t="n">
        <v>3</v>
      </c>
      <c r="F21" s="49" t="inlineStr">
        <is>
          <t>Not Applicable</t>
        </is>
      </c>
      <c r="G21" s="47" t="inlineStr">
        <is>
          <t>No browser storage used for sensitive data.</t>
        </is>
      </c>
      <c r="H21" s="47" t="n"/>
    </row>
    <row r="22" ht="30" customHeight="1" s="28">
      <c r="A22" s="50" t="inlineStr">
        <is>
          <t>V3.4</t>
        </is>
      </c>
      <c r="B22" s="50" t="inlineStr">
        <is>
          <t>Browser Security Mechanism Headers</t>
        </is>
      </c>
      <c r="C22" s="51" t="inlineStr">
        <is>
          <t>V3.4.8</t>
        </is>
      </c>
      <c r="D22" s="52"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54" t="n">
        <v>3</v>
      </c>
      <c r="F22" s="49" t="inlineStr">
        <is>
          <t>Not Applicable</t>
        </is>
      </c>
      <c r="G22" s="52" t="inlineStr">
        <is>
          <t>Session fixation not applicable; stateless JWT-based authentication.</t>
        </is>
      </c>
      <c r="H22" s="52" t="n"/>
    </row>
    <row r="23" ht="18" customHeight="1" s="28">
      <c r="A23" s="44" t="inlineStr">
        <is>
          <t>V3.5</t>
        </is>
      </c>
      <c r="B23" s="44" t="inlineStr">
        <is>
          <t>Browser Origin Separation</t>
        </is>
      </c>
      <c r="C23" s="44" t="n"/>
      <c r="D23" s="44" t="n"/>
      <c r="E23" s="44" t="n"/>
      <c r="F23" s="44" t="n"/>
      <c r="G23" s="44" t="n"/>
      <c r="H23" s="44" t="n"/>
    </row>
    <row r="24" ht="30" customHeight="1" s="28">
      <c r="A24" s="45" t="inlineStr">
        <is>
          <t>V3.5</t>
        </is>
      </c>
      <c r="B24" s="45" t="inlineStr">
        <is>
          <t>Browser Origin Separation</t>
        </is>
      </c>
      <c r="C24" s="46" t="inlineStr">
        <is>
          <t>V3.5.1</t>
        </is>
      </c>
      <c r="D24" s="47"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53" t="n">
        <v>1</v>
      </c>
      <c r="F24" s="49" t="inlineStr">
        <is>
          <t>Not Applicable</t>
        </is>
      </c>
      <c r="G24" s="47" t="inlineStr">
        <is>
          <t>No static frontend resources served by this API.</t>
        </is>
      </c>
      <c r="H24" s="47" t="n"/>
    </row>
    <row r="25" ht="30" customHeight="1" s="28">
      <c r="A25" s="50" t="inlineStr">
        <is>
          <t>V3.5</t>
        </is>
      </c>
      <c r="B25" s="50" t="inlineStr">
        <is>
          <t>Browser Origin Separation</t>
        </is>
      </c>
      <c r="C25" s="51" t="inlineStr">
        <is>
          <t>V3.5.2</t>
        </is>
      </c>
      <c r="D25" s="52"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53" t="n">
        <v>1</v>
      </c>
      <c r="F25" s="49" t="inlineStr">
        <is>
          <t>Not Applicable</t>
        </is>
      </c>
      <c r="G25" s="52" t="inlineStr">
        <is>
          <t>No frontend served; CSP applied at API response level only.</t>
        </is>
      </c>
      <c r="H25" s="52" t="n"/>
    </row>
    <row r="26" ht="30" customHeight="1" s="28">
      <c r="A26" s="45" t="inlineStr">
        <is>
          <t>V3.5</t>
        </is>
      </c>
      <c r="B26" s="45" t="inlineStr">
        <is>
          <t>Browser Origin Separation</t>
        </is>
      </c>
      <c r="C26" s="46" t="inlineStr">
        <is>
          <t>V3.5.3</t>
        </is>
      </c>
      <c r="D26" s="47"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53" t="n">
        <v>1</v>
      </c>
      <c r="F26" s="49" t="inlineStr">
        <is>
          <t>Compliant</t>
        </is>
      </c>
      <c r="G26" s="47" t="inlineStr">
        <is>
          <t>CORS policy configured via Spring Security to allow only trusted origins.</t>
        </is>
      </c>
      <c r="H26" s="47" t="inlineStr">
        <is>
          <t>src/main/java/pt/isep/desofs/enderchest/config/SecurityConfig.java</t>
        </is>
      </c>
    </row>
    <row r="27" ht="30" customHeight="1" s="28">
      <c r="A27" s="50" t="inlineStr">
        <is>
          <t>V3.5</t>
        </is>
      </c>
      <c r="B27" s="50" t="inlineStr">
        <is>
          <t>Browser Origin Separation</t>
        </is>
      </c>
      <c r="C27" s="51" t="inlineStr">
        <is>
          <t>V3.5.4</t>
        </is>
      </c>
      <c r="D27" s="52"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48" t="n">
        <v>2</v>
      </c>
      <c r="F27" s="49" t="inlineStr">
        <is>
          <t>Not Applicable</t>
        </is>
      </c>
      <c r="G27" s="52" t="inlineStr">
        <is>
          <t>No postMessage usage; no frontend SPA.</t>
        </is>
      </c>
      <c r="H27" s="52" t="n"/>
    </row>
    <row r="28" ht="30" customHeight="1" s="28">
      <c r="A28" s="45" t="inlineStr">
        <is>
          <t>V3.5</t>
        </is>
      </c>
      <c r="B28" s="45" t="inlineStr">
        <is>
          <t>Browser Origin Separation</t>
        </is>
      </c>
      <c r="C28" s="46" t="inlineStr">
        <is>
          <t>V3.5.5</t>
        </is>
      </c>
      <c r="D28" s="47" t="inlineStr">
        <is>
          <t>Verify that messages received by the postMessage interface are discarded if the origin of the message is not trusted, or if the syntax of the message is invalid.</t>
        </is>
      </c>
      <c r="E28" s="48" t="n">
        <v>2</v>
      </c>
      <c r="F28" s="49" t="inlineStr">
        <is>
          <t>Not Applicable</t>
        </is>
      </c>
      <c r="G28" s="47" t="inlineStr">
        <is>
          <t>No browser localStorage or sessionStorage used.</t>
        </is>
      </c>
      <c r="H28" s="47" t="n"/>
    </row>
    <row r="29" ht="30" customHeight="1" s="28">
      <c r="A29" s="50" t="inlineStr">
        <is>
          <t>V3.5</t>
        </is>
      </c>
      <c r="B29" s="50" t="inlineStr">
        <is>
          <t>Browser Origin Separation</t>
        </is>
      </c>
      <c r="C29" s="51" t="inlineStr">
        <is>
          <t>V3.5.6</t>
        </is>
      </c>
      <c r="D29" s="52" t="inlineStr">
        <is>
          <t>Verify that JSONP functionality is not enabled anywhere across the application to avoid Cross-Site Script Inclusion (XSSI) attacks.</t>
        </is>
      </c>
      <c r="E29" s="54" t="n">
        <v>3</v>
      </c>
      <c r="F29" s="49" t="inlineStr">
        <is>
          <t>Not Applicable</t>
        </is>
      </c>
      <c r="G29" s="52" t="inlineStr">
        <is>
          <t>No window.opener usage; no frontend.</t>
        </is>
      </c>
      <c r="H29" s="52" t="n"/>
    </row>
    <row r="30" ht="30" customHeight="1" s="28">
      <c r="A30" s="45" t="inlineStr">
        <is>
          <t>V3.5</t>
        </is>
      </c>
      <c r="B30" s="45" t="inlineStr">
        <is>
          <t>Browser Origin Separation</t>
        </is>
      </c>
      <c r="C30" s="46" t="inlineStr">
        <is>
          <t>V3.5.7</t>
        </is>
      </c>
      <c r="D30" s="47" t="inlineStr">
        <is>
          <t>Verify that data requiring authorization is not included in script resource responses, like JavaScript files, to prevent Cross-Site Script Inclusion (XSSI) attacks.</t>
        </is>
      </c>
      <c r="E30" s="54" t="n">
        <v>3</v>
      </c>
      <c r="F30" s="49" t="inlineStr">
        <is>
          <t>Not Applicable</t>
        </is>
      </c>
      <c r="G30" s="47" t="inlineStr">
        <is>
          <t>No custom protocol handlers registered.</t>
        </is>
      </c>
      <c r="H30" s="47" t="n"/>
    </row>
    <row r="31" ht="30" customHeight="1" s="28">
      <c r="A31" s="50" t="inlineStr">
        <is>
          <t>V3.5</t>
        </is>
      </c>
      <c r="B31" s="50" t="inlineStr">
        <is>
          <t>Browser Origin Separation</t>
        </is>
      </c>
      <c r="C31" s="51" t="inlineStr">
        <is>
          <t>V3.5.8</t>
        </is>
      </c>
      <c r="D31" s="52"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54" t="n">
        <v>3</v>
      </c>
      <c r="F31" s="49" t="inlineStr">
        <is>
          <t>Not Applicable</t>
        </is>
      </c>
      <c r="G31" s="52" t="inlineStr">
        <is>
          <t>No third-party JavaScript loaded.</t>
        </is>
      </c>
      <c r="H31" s="52" t="n"/>
    </row>
    <row r="32" ht="18" customHeight="1" s="28">
      <c r="A32" s="44" t="inlineStr">
        <is>
          <t>V3.6</t>
        </is>
      </c>
      <c r="B32" s="44" t="inlineStr">
        <is>
          <t>External Resource Integrity</t>
        </is>
      </c>
      <c r="C32" s="44" t="n"/>
      <c r="D32" s="44" t="n"/>
      <c r="E32" s="44" t="n"/>
      <c r="F32" s="44" t="n"/>
      <c r="G32" s="44" t="n"/>
      <c r="H32" s="44" t="n"/>
    </row>
    <row r="33" ht="30" customHeight="1" s="28">
      <c r="A33" s="45" t="inlineStr">
        <is>
          <t>V3.6</t>
        </is>
      </c>
      <c r="B33" s="45" t="inlineStr">
        <is>
          <t>External Resource Integrity</t>
        </is>
      </c>
      <c r="C33" s="46" t="inlineStr">
        <is>
          <t>V3.6.1</t>
        </is>
      </c>
      <c r="D33" s="47"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54" t="n">
        <v>3</v>
      </c>
      <c r="F33" s="49" t="inlineStr">
        <is>
          <t>Not Applicable</t>
        </is>
      </c>
      <c r="G33" s="47" t="inlineStr">
        <is>
          <t>No UI; clickjacking not applicable to a REST API.</t>
        </is>
      </c>
      <c r="H33" s="47" t="n"/>
    </row>
    <row r="34" ht="18" customHeight="1" s="28">
      <c r="A34" s="44" t="inlineStr">
        <is>
          <t>V3.7</t>
        </is>
      </c>
      <c r="B34" s="44" t="inlineStr">
        <is>
          <t>Other Browser Security Considerations</t>
        </is>
      </c>
      <c r="C34" s="44" t="n"/>
      <c r="D34" s="44" t="n"/>
      <c r="E34" s="44" t="n"/>
      <c r="F34" s="44" t="n"/>
      <c r="G34" s="44" t="n"/>
      <c r="H34" s="44" t="n"/>
    </row>
    <row r="35" ht="30" customHeight="1" s="28">
      <c r="A35" s="45" t="inlineStr">
        <is>
          <t>V3.7</t>
        </is>
      </c>
      <c r="B35" s="45" t="inlineStr">
        <is>
          <t>Other Browser Security Considerations</t>
        </is>
      </c>
      <c r="C35" s="46" t="inlineStr">
        <is>
          <t>V3.7.1</t>
        </is>
      </c>
      <c r="D35" s="47"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48" t="n">
        <v>2</v>
      </c>
      <c r="F35" s="49" t="inlineStr">
        <is>
          <t>Not Applicable</t>
        </is>
      </c>
      <c r="G35" s="47" t="inlineStr">
        <is>
          <t>Stateless JWT authentication; no CSRF risk with Bearer tokens.</t>
        </is>
      </c>
      <c r="H35" s="47" t="n"/>
    </row>
    <row r="36" ht="30" customHeight="1" s="28">
      <c r="A36" s="50" t="inlineStr">
        <is>
          <t>V3.7</t>
        </is>
      </c>
      <c r="B36" s="50" t="inlineStr">
        <is>
          <t>Other Browser Security Considerations</t>
        </is>
      </c>
      <c r="C36" s="51" t="inlineStr">
        <is>
          <t>V3.7.2</t>
        </is>
      </c>
      <c r="D36" s="52" t="inlineStr">
        <is>
          <t>Verify that the application will only automatically redirect the user to a different hostname or domain (which is not controlled by the application) where the destination appears on an allowlist.</t>
        </is>
      </c>
      <c r="E36" s="48" t="n">
        <v>2</v>
      </c>
      <c r="F36" s="49" t="inlineStr">
        <is>
          <t>Not Applicable</t>
        </is>
      </c>
      <c r="G36" s="52" t="inlineStr">
        <is>
          <t>No session cookies; CSRF tokens not required.</t>
        </is>
      </c>
      <c r="H36" s="52" t="n"/>
    </row>
    <row r="37" ht="30" customHeight="1" s="28">
      <c r="A37" s="45" t="inlineStr">
        <is>
          <t>V3.7</t>
        </is>
      </c>
      <c r="B37" s="45" t="inlineStr">
        <is>
          <t>Other Browser Security Considerations</t>
        </is>
      </c>
      <c r="C37" s="46" t="inlineStr">
        <is>
          <t>V3.7.3</t>
        </is>
      </c>
      <c r="D37" s="47" t="inlineStr">
        <is>
          <t>Verify that the application shows a notification when the user is being redirected to a URL outside of the application's control, with an option to cancel the navigation.</t>
        </is>
      </c>
      <c r="E37" s="54" t="n">
        <v>3</v>
      </c>
      <c r="F37" s="49" t="inlineStr">
        <is>
          <t>Not Applicable</t>
        </is>
      </c>
      <c r="G37" s="47" t="inlineStr">
        <is>
          <t>No cookie-based session; Double Submit Cookie pattern not needed.</t>
        </is>
      </c>
      <c r="H37" s="47" t="n"/>
    </row>
    <row r="38" ht="30" customHeight="1" s="28">
      <c r="A38" s="50" t="inlineStr">
        <is>
          <t>V3.7</t>
        </is>
      </c>
      <c r="B38" s="50" t="inlineStr">
        <is>
          <t>Other Browser Security Considerations</t>
        </is>
      </c>
      <c r="C38" s="51" t="inlineStr">
        <is>
          <t>V3.7.4</t>
        </is>
      </c>
      <c r="D38" s="52"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54" t="n">
        <v>3</v>
      </c>
      <c r="F38" s="49" t="inlineStr">
        <is>
          <t>Not Applicable</t>
        </is>
      </c>
      <c r="G38" s="52" t="inlineStr">
        <is>
          <t>No cookie-based session; Referer check not needed.</t>
        </is>
      </c>
      <c r="H38" s="52" t="n"/>
    </row>
    <row r="39" ht="30" customHeight="1" s="28">
      <c r="A39" s="45" t="inlineStr">
        <is>
          <t>V3.7</t>
        </is>
      </c>
      <c r="B39" s="45" t="inlineStr">
        <is>
          <t>Other Browser Security Considerations</t>
        </is>
      </c>
      <c r="C39" s="46" t="inlineStr">
        <is>
          <t>V3.7.5</t>
        </is>
      </c>
      <c r="D39" s="47" t="inlineStr">
        <is>
          <t>Verify that the application behaves as documented (such as warning the user or blocking access) if the browser used to access the application does not support the expected security features.</t>
        </is>
      </c>
      <c r="E39" s="54" t="n">
        <v>3</v>
      </c>
      <c r="F39" s="49" t="inlineStr">
        <is>
          <t>Not Applicable</t>
        </is>
      </c>
      <c r="G39" s="47" t="inlineStr">
        <is>
          <t>No session cookies; SameSite attribute not needed for CSRF protection.</t>
        </is>
      </c>
      <c r="H39" s="47" t="n"/>
    </row>
  </sheetData>
  <conditionalFormatting sqref="F2:F39">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9"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H21"/>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V4.1</t>
        </is>
      </c>
      <c r="B2" s="44" t="inlineStr">
        <is>
          <t>Generic Web Service Security</t>
        </is>
      </c>
      <c r="C2" s="44" t="n"/>
      <c r="D2" s="44" t="n"/>
      <c r="E2" s="44" t="n"/>
      <c r="F2" s="44" t="n"/>
      <c r="G2" s="44" t="n"/>
      <c r="H2" s="44" t="n"/>
    </row>
    <row r="3" ht="30" customHeight="1" s="28">
      <c r="A3" s="45" t="inlineStr">
        <is>
          <t>V4.1</t>
        </is>
      </c>
      <c r="B3" s="45" t="inlineStr">
        <is>
          <t>Generic Web Service Security</t>
        </is>
      </c>
      <c r="C3" s="46" t="inlineStr">
        <is>
          <t>V4.1.1</t>
        </is>
      </c>
      <c r="D3" s="47"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53" t="n">
        <v>1</v>
      </c>
      <c r="F3" s="49" t="inlineStr">
        <is>
          <t>Compliant</t>
        </is>
      </c>
      <c r="G3" s="47" t="inlineStr">
        <is>
          <t>All API endpoints require valid JWT. Spring Security filter chain enforces authentication before business logic.</t>
        </is>
      </c>
      <c r="H3" s="47" t="inlineStr">
        <is>
          <t>src/main/java/pt/isep/desofs/enderchest/config/SecurityConfig.java</t>
        </is>
      </c>
    </row>
    <row r="4" ht="30" customHeight="1" s="28">
      <c r="A4" s="50" t="inlineStr">
        <is>
          <t>V4.1</t>
        </is>
      </c>
      <c r="B4" s="50" t="inlineStr">
        <is>
          <t>Generic Web Service Security</t>
        </is>
      </c>
      <c r="C4" s="51" t="inlineStr">
        <is>
          <t>V4.1.2</t>
        </is>
      </c>
      <c r="D4" s="52"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48" t="n">
        <v>2</v>
      </c>
      <c r="F4" s="49" t="inlineStr">
        <is>
          <t>Compliant</t>
        </is>
      </c>
      <c r="G4" s="52" t="inlineStr">
        <is>
          <t>OpenAPI spec defines all endpoints. Spring MVC maps only defined HTTP verbs per endpoint.</t>
        </is>
      </c>
      <c r="H4" s="52" t="inlineStr">
        <is>
          <t>src/main/java/pt/isep/desofs/enderchest/controller/FileController.java</t>
        </is>
      </c>
    </row>
    <row r="5" ht="30" customHeight="1" s="28">
      <c r="A5" s="45" t="inlineStr">
        <is>
          <t>V4.1</t>
        </is>
      </c>
      <c r="B5" s="45" t="inlineStr">
        <is>
          <t>Generic Web Service Security</t>
        </is>
      </c>
      <c r="C5" s="46" t="inlineStr">
        <is>
          <t>V4.1.3</t>
        </is>
      </c>
      <c r="D5" s="47"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48" t="n">
        <v>2</v>
      </c>
      <c r="F5" s="49" t="inlineStr">
        <is>
          <t>Not Started</t>
        </is>
      </c>
      <c r="G5" s="47" t="inlineStr">
        <is>
          <t>API rate limiting per user/IP to be implemented in Phase 2.</t>
        </is>
      </c>
      <c r="H5" s="47" t="n"/>
    </row>
    <row r="6" ht="30" customHeight="1" s="28">
      <c r="A6" s="50" t="inlineStr">
        <is>
          <t>V4.1</t>
        </is>
      </c>
      <c r="B6" s="50" t="inlineStr">
        <is>
          <t>Generic Web Service Security</t>
        </is>
      </c>
      <c r="C6" s="51" t="inlineStr">
        <is>
          <t>V4.1.4</t>
        </is>
      </c>
      <c r="D6" s="52" t="inlineStr">
        <is>
          <t>Verify that only HTTP methods that are explicitly supported by the application or its API (including OPTIONS during preflight requests) can be used and that unused methods are blocked.</t>
        </is>
      </c>
      <c r="E6" s="54" t="n">
        <v>3</v>
      </c>
      <c r="F6" s="49" t="inlineStr">
        <is>
          <t>Not Started</t>
        </is>
      </c>
      <c r="G6" s="52" t="inlineStr">
        <is>
          <t>API security testing (fuzzing, DAST) to be performed in Phase 2.</t>
        </is>
      </c>
      <c r="H6" s="52" t="n"/>
    </row>
    <row r="7" ht="30" customHeight="1" s="28">
      <c r="A7" s="45" t="inlineStr">
        <is>
          <t>V4.1</t>
        </is>
      </c>
      <c r="B7" s="45" t="inlineStr">
        <is>
          <t>Generic Web Service Security</t>
        </is>
      </c>
      <c r="C7" s="46" t="inlineStr">
        <is>
          <t>V4.1.5</t>
        </is>
      </c>
      <c r="D7" s="47" t="inlineStr">
        <is>
          <t>Verify that per-message digital signatures are used to provide additional assurance on top of transport protections for requests or transactions which are highly sensitive or which traverse a number of systems.</t>
        </is>
      </c>
      <c r="E7" s="54" t="n">
        <v>3</v>
      </c>
      <c r="F7" s="49" t="inlineStr">
        <is>
          <t>Not Started</t>
        </is>
      </c>
      <c r="G7" s="47" t="inlineStr">
        <is>
          <t>API versioning strategy to be finalised in Phase 2.</t>
        </is>
      </c>
      <c r="H7" s="47" t="n"/>
    </row>
    <row r="8" ht="18" customHeight="1" s="28">
      <c r="A8" s="44" t="inlineStr">
        <is>
          <t>V4.2</t>
        </is>
      </c>
      <c r="B8" s="44" t="inlineStr">
        <is>
          <t>HTTP Message Structure Validation</t>
        </is>
      </c>
      <c r="C8" s="44" t="n"/>
      <c r="D8" s="44" t="n"/>
      <c r="E8" s="44" t="n"/>
      <c r="F8" s="44" t="n"/>
      <c r="G8" s="44" t="n"/>
      <c r="H8" s="44" t="n"/>
    </row>
    <row r="9" ht="30" customHeight="1" s="28">
      <c r="A9" s="45" t="inlineStr">
        <is>
          <t>V4.2</t>
        </is>
      </c>
      <c r="B9" s="45" t="inlineStr">
        <is>
          <t>HTTP Message Structure Validation</t>
        </is>
      </c>
      <c r="C9" s="46" t="inlineStr">
        <is>
          <t>V4.2.1</t>
        </is>
      </c>
      <c r="D9" s="47"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48" t="n">
        <v>2</v>
      </c>
      <c r="F9" s="49" t="inlineStr">
        <is>
          <t>Compliant</t>
        </is>
      </c>
      <c r="G9" s="47" t="inlineStr">
        <is>
          <t>AccessShare aggregate checked server-side before every operation. Default deny: no AccessShare record -&gt; HTTP 403.</t>
        </is>
      </c>
      <c r="H9" s="47" t="inlineStr">
        <is>
          <t>src/main/java/pt/isep/desofs/enderchest/controller/FileController.java
src/main/java/pt/isep/desofs/enderchest/entity/AccessShare.java</t>
        </is>
      </c>
    </row>
    <row r="10" ht="30" customHeight="1" s="28">
      <c r="A10" s="50" t="inlineStr">
        <is>
          <t>V4.2</t>
        </is>
      </c>
      <c r="B10" s="50" t="inlineStr">
        <is>
          <t>HTTP Message Structure Validation</t>
        </is>
      </c>
      <c r="C10" s="51" t="inlineStr">
        <is>
          <t>V4.2.2</t>
        </is>
      </c>
      <c r="D10" s="52" t="inlineStr">
        <is>
          <t>Verify that when generating HTTP messages, the Content-Length header field does not conflict with the length of the content as determined by the framing of the HTTP protocol, in order to prevent request smuggling attacks.</t>
        </is>
      </c>
      <c r="E10" s="54" t="n">
        <v>3</v>
      </c>
      <c r="F10" s="49" t="inlineStr">
        <is>
          <t>Compliant</t>
        </is>
      </c>
      <c r="G10" s="52" t="inlineStr">
        <is>
          <t>RBAC matrix enforced: DELETE=OWNER only, EDITOR=upload/download, VIEWER=download only.</t>
        </is>
      </c>
      <c r="H10" s="52" t="inlineStr">
        <is>
          <t>src/main/java/pt/isep/desofs/enderchest/controller/FileController.java</t>
        </is>
      </c>
    </row>
    <row r="11" ht="30" customHeight="1" s="28">
      <c r="A11" s="45" t="inlineStr">
        <is>
          <t>V4.2</t>
        </is>
      </c>
      <c r="B11" s="45" t="inlineStr">
        <is>
          <t>HTTP Message Structure Validation</t>
        </is>
      </c>
      <c r="C11" s="46" t="inlineStr">
        <is>
          <t>V4.2.3</t>
        </is>
      </c>
      <c r="D11" s="47" t="inlineStr">
        <is>
          <t>Verify that the application does not send nor accept HTTP/2 or HTTP/3 messages with connection-specific header fields such as Transfer-Encoding to prevent response splitting and header injection attacks.</t>
        </is>
      </c>
      <c r="E11" s="54" t="n">
        <v>3</v>
      </c>
      <c r="F11" s="49" t="inlineStr">
        <is>
          <t>Not Started</t>
        </is>
      </c>
      <c r="G11" s="47" t="inlineStr">
        <is>
          <t>API parameter tampering prevention to be verified in Phase 2.</t>
        </is>
      </c>
      <c r="H11" s="47" t="n"/>
    </row>
    <row r="12" ht="30" customHeight="1" s="28">
      <c r="A12" s="50" t="inlineStr">
        <is>
          <t>V4.2</t>
        </is>
      </c>
      <c r="B12" s="50" t="inlineStr">
        <is>
          <t>HTTP Message Structure Validation</t>
        </is>
      </c>
      <c r="C12" s="51" t="inlineStr">
        <is>
          <t>V4.2.4</t>
        </is>
      </c>
      <c r="D12" s="52" t="inlineStr">
        <is>
          <t>Verify that the application only accepts HTTP/2 and HTTP/3 requests where the header fields and values do not contain any CR (\r), LF (\n), or CRLF (\r\n) sequences, to prevent header injection attacks.</t>
        </is>
      </c>
      <c r="E12" s="54" t="n">
        <v>3</v>
      </c>
      <c r="F12" s="49" t="inlineStr">
        <is>
          <t>Not Started</t>
        </is>
      </c>
      <c r="G12" s="52" t="inlineStr">
        <is>
          <t>HTTP verb tampering prevention to be verified in Phase 2.</t>
        </is>
      </c>
      <c r="H12" s="52" t="n"/>
    </row>
    <row r="13" ht="30" customHeight="1" s="28">
      <c r="A13" s="45" t="inlineStr">
        <is>
          <t>V4.2</t>
        </is>
      </c>
      <c r="B13" s="45" t="inlineStr">
        <is>
          <t>HTTP Message Structure Validation</t>
        </is>
      </c>
      <c r="C13" s="46" t="inlineStr">
        <is>
          <t>V4.2.5</t>
        </is>
      </c>
      <c r="D13" s="47"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54" t="n">
        <v>3</v>
      </c>
      <c r="F13" s="49" t="inlineStr">
        <is>
          <t>Not Started</t>
        </is>
      </c>
      <c r="G13" s="47" t="inlineStr">
        <is>
          <t>Sensitive data in API responses to be reviewed in Phase 2.</t>
        </is>
      </c>
      <c r="H13" s="47" t="n"/>
    </row>
    <row r="14" ht="18" customHeight="1" s="28">
      <c r="A14" s="44" t="inlineStr">
        <is>
          <t>V4.3</t>
        </is>
      </c>
      <c r="B14" s="44" t="inlineStr">
        <is>
          <t>GraphQL</t>
        </is>
      </c>
      <c r="C14" s="44" t="n"/>
      <c r="D14" s="44" t="n"/>
      <c r="E14" s="44" t="n"/>
      <c r="F14" s="44" t="n"/>
      <c r="G14" s="44" t="n"/>
      <c r="H14" s="44" t="n"/>
    </row>
    <row r="15" ht="30" customHeight="1" s="28">
      <c r="A15" s="45" t="inlineStr">
        <is>
          <t>V4.3</t>
        </is>
      </c>
      <c r="B15" s="45" t="inlineStr">
        <is>
          <t>GraphQL</t>
        </is>
      </c>
      <c r="C15" s="46" t="inlineStr">
        <is>
          <t>V4.3.1</t>
        </is>
      </c>
      <c r="D15" s="47" t="inlineStr">
        <is>
          <t>Verify that a query allowlist, depth limiting, amount limiting, or query cost analysis is used to prevent GraphQL or data layer expression Denial of Service (DoS) as a result of expensive, nested queries.</t>
        </is>
      </c>
      <c r="E15" s="48" t="n">
        <v>2</v>
      </c>
      <c r="F15" s="49" t="inlineStr">
        <is>
          <t>Not Applicable</t>
        </is>
      </c>
      <c r="G15" s="47" t="inlineStr">
        <is>
          <t>No GraphQL endpoint in the system.</t>
        </is>
      </c>
      <c r="H15" s="47" t="n"/>
    </row>
    <row r="16" ht="30" customHeight="1" s="28">
      <c r="A16" s="50" t="inlineStr">
        <is>
          <t>V4.3</t>
        </is>
      </c>
      <c r="B16" s="50" t="inlineStr">
        <is>
          <t>GraphQL</t>
        </is>
      </c>
      <c r="C16" s="51" t="inlineStr">
        <is>
          <t>V4.3.2</t>
        </is>
      </c>
      <c r="D16" s="52" t="inlineStr">
        <is>
          <t>Verify that GraphQL introspection queries are disabled in the production environment unless the GraphQL API is meant to be used by other parties.</t>
        </is>
      </c>
      <c r="E16" s="48" t="n">
        <v>2</v>
      </c>
      <c r="F16" s="49" t="inlineStr">
        <is>
          <t>Not Applicable</t>
        </is>
      </c>
      <c r="G16" s="52" t="inlineStr">
        <is>
          <t>No GraphQL endpoint in the system.</t>
        </is>
      </c>
      <c r="H16" s="52" t="n"/>
    </row>
    <row r="17" ht="18" customHeight="1" s="28">
      <c r="A17" s="44" t="inlineStr">
        <is>
          <t>V4.4</t>
        </is>
      </c>
      <c r="B17" s="44" t="inlineStr">
        <is>
          <t>WebSocket</t>
        </is>
      </c>
      <c r="C17" s="44" t="n"/>
      <c r="D17" s="44" t="n"/>
      <c r="E17" s="44" t="n"/>
      <c r="F17" s="44" t="n"/>
      <c r="G17" s="44" t="n"/>
      <c r="H17" s="44" t="n"/>
    </row>
    <row r="18" ht="30" customHeight="1" s="28">
      <c r="A18" s="45" t="inlineStr">
        <is>
          <t>V4.4</t>
        </is>
      </c>
      <c r="B18" s="45" t="inlineStr">
        <is>
          <t>WebSocket</t>
        </is>
      </c>
      <c r="C18" s="46" t="inlineStr">
        <is>
          <t>V4.4.1</t>
        </is>
      </c>
      <c r="D18" s="47" t="inlineStr">
        <is>
          <t>Verify that WebSocket over TLS (WSS) is used for all WebSocket connections.</t>
        </is>
      </c>
      <c r="E18" s="53" t="n">
        <v>1</v>
      </c>
      <c r="F18" s="49" t="inlineStr">
        <is>
          <t>Not Applicable</t>
        </is>
      </c>
      <c r="G18" s="47" t="inlineStr">
        <is>
          <t>No WebSocket endpoint in the system.</t>
        </is>
      </c>
      <c r="H18" s="47" t="n"/>
    </row>
    <row r="19" ht="30" customHeight="1" s="28">
      <c r="A19" s="50" t="inlineStr">
        <is>
          <t>V4.4</t>
        </is>
      </c>
      <c r="B19" s="50" t="inlineStr">
        <is>
          <t>WebSocket</t>
        </is>
      </c>
      <c r="C19" s="51" t="inlineStr">
        <is>
          <t>V4.4.2</t>
        </is>
      </c>
      <c r="D19" s="52" t="inlineStr">
        <is>
          <t>Verify that, during the initial HTTP WebSocket handshake, the Origin header field is checked against a list of origins allowed for the application.</t>
        </is>
      </c>
      <c r="E19" s="48" t="n">
        <v>2</v>
      </c>
      <c r="F19" s="49" t="inlineStr">
        <is>
          <t>Not Applicable</t>
        </is>
      </c>
      <c r="G19" s="52" t="inlineStr">
        <is>
          <t>No WebSocket endpoint in the system.</t>
        </is>
      </c>
      <c r="H19" s="52" t="n"/>
    </row>
    <row r="20" ht="30" customHeight="1" s="28">
      <c r="A20" s="45" t="inlineStr">
        <is>
          <t>V4.4</t>
        </is>
      </c>
      <c r="B20" s="45" t="inlineStr">
        <is>
          <t>WebSocket</t>
        </is>
      </c>
      <c r="C20" s="46" t="inlineStr">
        <is>
          <t>V4.4.3</t>
        </is>
      </c>
      <c r="D20" s="47" t="inlineStr">
        <is>
          <t>Verify that, if the application's standard session management cannot be used, dedicated tokens are being used for this, which comply with the relevant Session Management security requirements.</t>
        </is>
      </c>
      <c r="E20" s="48" t="n">
        <v>2</v>
      </c>
      <c r="F20" s="49" t="inlineStr">
        <is>
          <t>Not Applicable</t>
        </is>
      </c>
      <c r="G20" s="47" t="inlineStr">
        <is>
          <t>No WebSocket endpoint in the system.</t>
        </is>
      </c>
      <c r="H20" s="47" t="n"/>
    </row>
    <row r="21" ht="30" customHeight="1" s="28">
      <c r="A21" s="50" t="inlineStr">
        <is>
          <t>V4.4</t>
        </is>
      </c>
      <c r="B21" s="50" t="inlineStr">
        <is>
          <t>WebSocket</t>
        </is>
      </c>
      <c r="C21" s="51" t="inlineStr">
        <is>
          <t>V4.4.4</t>
        </is>
      </c>
      <c r="D21" s="52" t="inlineStr">
        <is>
          <t>Verify that dedicated WebSocket session management tokens are initially obtained or validated through the previously authenticated HTTPS session when transitioning an existing HTTPS session to a WebSocket channel.</t>
        </is>
      </c>
      <c r="E21" s="48" t="n">
        <v>2</v>
      </c>
      <c r="F21" s="49" t="inlineStr">
        <is>
          <t>Not Applicable</t>
        </is>
      </c>
      <c r="G21" s="52" t="inlineStr">
        <is>
          <t>No WebSocket endpoint in the system.</t>
        </is>
      </c>
      <c r="H21" s="52" t="n"/>
    </row>
  </sheetData>
  <conditionalFormatting sqref="F2:F21">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1"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V5.1</t>
        </is>
      </c>
      <c r="B2" s="44" t="inlineStr">
        <is>
          <t>File Handling Documentation</t>
        </is>
      </c>
      <c r="C2" s="44" t="n"/>
      <c r="D2" s="44" t="n"/>
      <c r="E2" s="44" t="n"/>
      <c r="F2" s="44" t="n"/>
      <c r="G2" s="44" t="n"/>
      <c r="H2" s="44" t="n"/>
    </row>
    <row r="3" ht="30" customHeight="1" s="28">
      <c r="A3" s="45" t="inlineStr">
        <is>
          <t>V5.1</t>
        </is>
      </c>
      <c r="B3" s="45" t="inlineStr">
        <is>
          <t>File Handling Documentation</t>
        </is>
      </c>
      <c r="C3" s="46" t="inlineStr">
        <is>
          <t>V5.1.1</t>
        </is>
      </c>
      <c r="D3" s="47"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48" t="n">
        <v>2</v>
      </c>
      <c r="F3" s="49" t="inlineStr">
        <is>
          <t>Compliant</t>
        </is>
      </c>
      <c r="G3" s="47" t="inlineStr">
        <is>
          <t>Apache Tika validates file type via magic bytes; client-supplied Content-Type header never trusted.</t>
        </is>
      </c>
      <c r="H3" s="47" t="inlineStr">
        <is>
          <t>src/main/java/pt/isep/desofs/enderchest/service/FileStorageService.java</t>
        </is>
      </c>
    </row>
    <row r="4" ht="18" customHeight="1" s="28">
      <c r="A4" s="44" t="inlineStr">
        <is>
          <t>V5.2</t>
        </is>
      </c>
      <c r="B4" s="44" t="inlineStr">
        <is>
          <t>File Upload and Content</t>
        </is>
      </c>
      <c r="C4" s="44" t="n"/>
      <c r="D4" s="44" t="n"/>
      <c r="E4" s="44" t="n"/>
      <c r="F4" s="44" t="n"/>
      <c r="G4" s="44" t="n"/>
      <c r="H4" s="44" t="n"/>
    </row>
    <row r="5" ht="30" customHeight="1" s="28">
      <c r="A5" s="45" t="inlineStr">
        <is>
          <t>V5.2</t>
        </is>
      </c>
      <c r="B5" s="45" t="inlineStr">
        <is>
          <t>File Upload and Content</t>
        </is>
      </c>
      <c r="C5" s="46" t="inlineStr">
        <is>
          <t>V5.2.1</t>
        </is>
      </c>
      <c r="D5" s="47" t="inlineStr">
        <is>
          <t>Verify that the application will only accept files of a size which it can process without causing a loss of performance or a denial of service attack.</t>
        </is>
      </c>
      <c r="E5" s="53" t="n">
        <v>1</v>
      </c>
      <c r="F5" s="49" t="inlineStr">
        <is>
          <t>Compliant</t>
        </is>
      </c>
      <c r="G5" s="47" t="inlineStr">
        <is>
          <t>MIME type whitelist enforced via Apache Tika before any processing.</t>
        </is>
      </c>
      <c r="H5" s="47" t="inlineStr">
        <is>
          <t>src/main/java/pt/isep/desofs/enderchest/service/FileStorageService.java</t>
        </is>
      </c>
    </row>
    <row r="6" ht="30" customHeight="1" s="28">
      <c r="A6" s="50" t="inlineStr">
        <is>
          <t>V5.2</t>
        </is>
      </c>
      <c r="B6" s="50" t="inlineStr">
        <is>
          <t>File Upload and Content</t>
        </is>
      </c>
      <c r="C6" s="51" t="inlineStr">
        <is>
          <t>V5.2.2</t>
        </is>
      </c>
      <c r="D6" s="52"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53" t="n">
        <v>1</v>
      </c>
      <c r="F6" s="49" t="inlineStr">
        <is>
          <t>Compliant</t>
        </is>
      </c>
      <c r="G6" s="52" t="inlineStr">
        <is>
          <t>Maximum file size enforced before buffering. Per-user StorageQuota aggregate checked before write.</t>
        </is>
      </c>
      <c r="H6" s="52" t="inlineStr">
        <is>
          <t>src/main/java/pt/isep/desofs/enderchest/service/FileStorageService.java</t>
        </is>
      </c>
    </row>
    <row r="7" ht="30" customHeight="1" s="28">
      <c r="A7" s="45" t="inlineStr">
        <is>
          <t>V5.2</t>
        </is>
      </c>
      <c r="B7" s="45" t="inlineStr">
        <is>
          <t>File Upload and Content</t>
        </is>
      </c>
      <c r="C7" s="46" t="inlineStr">
        <is>
          <t>V5.2.3</t>
        </is>
      </c>
      <c r="D7" s="47" t="inlineStr">
        <is>
          <t>Verify that the application checks compressed files (e.g., zip, gz, docx, odt) against maximum allowed uncompressed size and against maximum number of files before uncompressing the file.</t>
        </is>
      </c>
      <c r="E7" s="48" t="n">
        <v>2</v>
      </c>
      <c r="F7" s="49" t="inlineStr">
        <is>
          <t>Compliant</t>
        </is>
      </c>
      <c r="G7" s="47" t="inlineStr">
        <is>
          <t>Files stored as UUID-named blobs outside web root. Original filename stored in DB only, never used as path component.</t>
        </is>
      </c>
      <c r="H7" s="47" t="inlineStr">
        <is>
          <t>src/main/java/pt/isep/desofs/enderchest/service/FileStorageService.java</t>
        </is>
      </c>
    </row>
    <row r="8" ht="30" customHeight="1" s="28">
      <c r="A8" s="50" t="inlineStr">
        <is>
          <t>V5.2</t>
        </is>
      </c>
      <c r="B8" s="50" t="inlineStr">
        <is>
          <t>File Upload and Content</t>
        </is>
      </c>
      <c r="C8" s="51" t="inlineStr">
        <is>
          <t>V5.2.4</t>
        </is>
      </c>
      <c r="D8" s="52" t="inlineStr">
        <is>
          <t>Verify that a file size quota and maximum number of files per user are enforced to ensure that a single user cannot fill up the storage with too many files, or excessively large files.</t>
        </is>
      </c>
      <c r="E8" s="54" t="n">
        <v>3</v>
      </c>
      <c r="F8" s="49" t="inlineStr">
        <is>
          <t>Compliant</t>
        </is>
      </c>
      <c r="G8" s="52" t="inlineStr">
        <is>
          <t>Storage directory outside web root. Files never served via static URL.</t>
        </is>
      </c>
      <c r="H8" s="52" t="inlineStr">
        <is>
          <t>src/main/java/pt/isep/desofs/enderchest/service/FileStorageService.java</t>
        </is>
      </c>
    </row>
    <row r="9" ht="30" customHeight="1" s="28">
      <c r="A9" s="45" t="inlineStr">
        <is>
          <t>V5.2</t>
        </is>
      </c>
      <c r="B9" s="45" t="inlineStr">
        <is>
          <t>File Upload and Content</t>
        </is>
      </c>
      <c r="C9" s="46" t="inlineStr">
        <is>
          <t>V5.2.5</t>
        </is>
      </c>
      <c r="D9" s="47" t="inlineStr">
        <is>
          <t>Verify that the application does not allow uploading compressed files containing symlinks unless this is specifically required (in which case it will be necessary to enforce an allowlist of the files that can be symlinked to).</t>
        </is>
      </c>
      <c r="E9" s="54" t="n">
        <v>3</v>
      </c>
      <c r="F9" s="49" t="inlineStr">
        <is>
          <t>Compliant</t>
        </is>
      </c>
      <c r="G9" s="47" t="inlineStr">
        <is>
          <t>UUID filenames and storage outside web root prevent direct access. All downloads proxied through API with AccessShare enforcement.</t>
        </is>
      </c>
      <c r="H9" s="47" t="inlineStr">
        <is>
          <t>src/main/java/pt/isep/desofs/enderchest/service/FileStorageService.java</t>
        </is>
      </c>
    </row>
    <row r="10" ht="30" customHeight="1" s="28">
      <c r="A10" s="50" t="inlineStr">
        <is>
          <t>V5.2</t>
        </is>
      </c>
      <c r="B10" s="50" t="inlineStr">
        <is>
          <t>File Upload and Content</t>
        </is>
      </c>
      <c r="C10" s="51" t="inlineStr">
        <is>
          <t>V5.2.6</t>
        </is>
      </c>
      <c r="D10" s="52" t="inlineStr">
        <is>
          <t>Verify that the application rejects uploaded images with a pixel size larger than the maximum allowed, to prevent pixel flood attacks.</t>
        </is>
      </c>
      <c r="E10" s="54" t="n">
        <v>3</v>
      </c>
      <c r="F10" s="49" t="inlineStr">
        <is>
          <t>Not Started</t>
        </is>
      </c>
      <c r="G10" s="52" t="inlineStr">
        <is>
          <t>Malware scanning integration to be evaluated in Phase 2.</t>
        </is>
      </c>
      <c r="H10" s="52" t="n"/>
    </row>
    <row r="11" ht="18" customHeight="1" s="28">
      <c r="A11" s="44" t="inlineStr">
        <is>
          <t>V5.3</t>
        </is>
      </c>
      <c r="B11" s="44" t="inlineStr">
        <is>
          <t>File Storage</t>
        </is>
      </c>
      <c r="C11" s="44" t="n"/>
      <c r="D11" s="44" t="n"/>
      <c r="E11" s="44" t="n"/>
      <c r="F11" s="44" t="n"/>
      <c r="G11" s="44" t="n"/>
      <c r="H11" s="44" t="n"/>
    </row>
    <row r="12" ht="30" customHeight="1" s="28">
      <c r="A12" s="45" t="inlineStr">
        <is>
          <t>V5.3</t>
        </is>
      </c>
      <c r="B12" s="45" t="inlineStr">
        <is>
          <t>File Storage</t>
        </is>
      </c>
      <c r="C12" s="46" t="inlineStr">
        <is>
          <t>V5.3.1</t>
        </is>
      </c>
      <c r="D12" s="47" t="inlineStr">
        <is>
          <t>Verify that files uploaded or generated by untrusted input and stored in a public folder, are not executed as server-side program code when accessed directly with an HTTP request.</t>
        </is>
      </c>
      <c r="E12" s="53" t="n">
        <v>1</v>
      </c>
      <c r="F12" s="49" t="inlineStr">
        <is>
          <t>Compliant</t>
        </is>
      </c>
      <c r="G12" s="47" t="inlineStr">
        <is>
          <t>java.nio.file.Path.normalize() applied; result verified against base directory before I/O.</t>
        </is>
      </c>
      <c r="H12" s="47" t="inlineStr">
        <is>
          <t>src/main/java/pt/isep/desofs/enderchest/service/FileStorageService.java</t>
        </is>
      </c>
    </row>
    <row r="13" ht="30" customHeight="1" s="28">
      <c r="A13" s="50" t="inlineStr">
        <is>
          <t>V5.3</t>
        </is>
      </c>
      <c r="B13" s="50" t="inlineStr">
        <is>
          <t>File Storage</t>
        </is>
      </c>
      <c r="C13" s="51" t="inlineStr">
        <is>
          <t>V5.3.2</t>
        </is>
      </c>
      <c r="D13" s="52"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53" t="n">
        <v>1</v>
      </c>
      <c r="F13" s="49" t="inlineStr">
        <is>
          <t>Compliant</t>
        </is>
      </c>
      <c r="G13" s="52" t="inlineStr">
        <is>
          <t>UUID filenames; storage directory has no execute permissions. Uploaded files cannot be executed.</t>
        </is>
      </c>
      <c r="H13" s="52" t="inlineStr">
        <is>
          <t>src/main/java/pt/isep/desofs/enderchest/service/FileStorageService.java</t>
        </is>
      </c>
    </row>
    <row r="14" ht="30" customHeight="1" s="28">
      <c r="A14" s="45" t="inlineStr">
        <is>
          <t>V5.3</t>
        </is>
      </c>
      <c r="B14" s="45" t="inlineStr">
        <is>
          <t>File Storage</t>
        </is>
      </c>
      <c r="C14" s="46" t="inlineStr">
        <is>
          <t>V5.3.3</t>
        </is>
      </c>
      <c r="D14" s="47" t="inlineStr">
        <is>
          <t>Verify that server-side file processing, such as file decompression, ignores user-provided path information to prevent vulnerabilities such as zip slip.</t>
        </is>
      </c>
      <c r="E14" s="54" t="n">
        <v>3</v>
      </c>
      <c r="F14" s="49" t="inlineStr">
        <is>
          <t>Compliant</t>
        </is>
      </c>
      <c r="G14" s="47" t="inlineStr">
        <is>
          <t>Files served only via API endpoints. All downloads proxied through application with AccessShare enforcement.</t>
        </is>
      </c>
      <c r="H14" s="47" t="inlineStr">
        <is>
          <t>src/main/java/pt/isep/desofs/enderchest/controller/FileController.java</t>
        </is>
      </c>
    </row>
    <row r="15" ht="18" customHeight="1" s="28">
      <c r="A15" s="44" t="inlineStr">
        <is>
          <t>V5.4</t>
        </is>
      </c>
      <c r="B15" s="44" t="inlineStr">
        <is>
          <t>File Download</t>
        </is>
      </c>
      <c r="C15" s="44" t="n"/>
      <c r="D15" s="44" t="n"/>
      <c r="E15" s="44" t="n"/>
      <c r="F15" s="44" t="n"/>
      <c r="G15" s="44" t="n"/>
      <c r="H15" s="44" t="n"/>
    </row>
    <row r="16" ht="30" customHeight="1" s="28">
      <c r="A16" s="45" t="inlineStr">
        <is>
          <t>V5.4</t>
        </is>
      </c>
      <c r="B16" s="45" t="inlineStr">
        <is>
          <t>File Download</t>
        </is>
      </c>
      <c r="C16" s="46" t="inlineStr">
        <is>
          <t>V5.4.1</t>
        </is>
      </c>
      <c r="D16" s="47" t="inlineStr">
        <is>
          <t>Verify that the application validates or ignores user-submitted filenames, including in a JSON, JSONP, or URL parameter and specifies a filename in the Content-Disposition header field in the response.</t>
        </is>
      </c>
      <c r="E16" s="48" t="n">
        <v>2</v>
      </c>
      <c r="F16" s="49" t="inlineStr">
        <is>
          <t>Compliant</t>
        </is>
      </c>
      <c r="G16" s="47" t="inlineStr">
        <is>
          <t>UUID filenames prevent guessing; AccessShare check required for every download.</t>
        </is>
      </c>
      <c r="H16" s="47" t="inlineStr">
        <is>
          <t>src/main/java/pt/isep/desofs/enderchest/entity/AccessShare.java
src/main/java/pt/isep/desofs/enderchest/controller/FileController.java</t>
        </is>
      </c>
    </row>
    <row r="17" ht="30" customHeight="1" s="28">
      <c r="A17" s="50" t="inlineStr">
        <is>
          <t>V5.4</t>
        </is>
      </c>
      <c r="B17" s="50" t="inlineStr">
        <is>
          <t>File Download</t>
        </is>
      </c>
      <c r="C17" s="51" t="inlineStr">
        <is>
          <t>V5.4.2</t>
        </is>
      </c>
      <c r="D17" s="52" t="inlineStr">
        <is>
          <t>Verify that file names served (e.g., in HTTP response header fields or email attachments) are encoded or sanitized (e.g., following RFC 6266) to preserve document structure and prevent injection attacks.</t>
        </is>
      </c>
      <c r="E17" s="48" t="n">
        <v>2</v>
      </c>
      <c r="F17" s="56" t="inlineStr">
        <is>
          <t>Compliant</t>
        </is>
      </c>
      <c r="G17" s="52" t="inlineStr">
        <is>
          <t>File integrity verification (checksums) to be implemented in Phase 2.</t>
        </is>
      </c>
      <c r="H17" s="52" t="inlineStr">
        <is>
          <t>src/main/java/pt/isep/desofs/enderchest/service/FileStorageService.java (SHA-256 hash stored at upload)
src/main/java/pt/isep/desofs/enderchest/controller/FileController.java (hash verified at download)</t>
        </is>
      </c>
    </row>
    <row r="18" ht="30" customHeight="1" s="28">
      <c r="A18" s="45" t="inlineStr">
        <is>
          <t>V5.4</t>
        </is>
      </c>
      <c r="B18" s="45" t="inlineStr">
        <is>
          <t>File Download</t>
        </is>
      </c>
      <c r="C18" s="46" t="inlineStr">
        <is>
          <t>V5.4.3</t>
        </is>
      </c>
      <c r="D18" s="47" t="inlineStr">
        <is>
          <t>Verify that files obtained from untrusted sources are scanned by antivirus scanners to prevent serving of known malicious content.</t>
        </is>
      </c>
      <c r="E18" s="48" t="n">
        <v>2</v>
      </c>
      <c r="F18" s="49" t="inlineStr">
        <is>
          <t>Not Started</t>
        </is>
      </c>
      <c r="G18" s="47" t="inlineStr">
        <is>
          <t>File quarantine / sandbox analysis to be evaluated in Phase 2.</t>
        </is>
      </c>
      <c r="H18" s="47" t="n"/>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5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V6.1</t>
        </is>
      </c>
      <c r="B2" s="44" t="inlineStr">
        <is>
          <t>Authentication Documentation</t>
        </is>
      </c>
      <c r="C2" s="44" t="n"/>
      <c r="D2" s="44" t="n"/>
      <c r="E2" s="44" t="n"/>
      <c r="F2" s="44" t="n"/>
      <c r="G2" s="44" t="n"/>
      <c r="H2" s="44" t="n"/>
    </row>
    <row r="3" ht="30" customHeight="1" s="28">
      <c r="A3" s="45" t="inlineStr">
        <is>
          <t>V6.1</t>
        </is>
      </c>
      <c r="B3" s="45" t="inlineStr">
        <is>
          <t>Authentication Documentation</t>
        </is>
      </c>
      <c r="C3" s="46" t="inlineStr">
        <is>
          <t>V6.1.1</t>
        </is>
      </c>
      <c r="D3" s="47"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53" t="n">
        <v>1</v>
      </c>
      <c r="F3" s="49" t="inlineStr">
        <is>
          <t>Compliant</t>
        </is>
      </c>
      <c r="G3" s="47" t="inlineStr">
        <is>
          <t>Passwords hashed with BCrypt or Argon2id with appropriate work factor. Never stored in plaintext.</t>
        </is>
      </c>
      <c r="H3" s="47" t="inlineStr">
        <is>
          <t>src/main/resources/application.properties – Auth0 manages password hashing</t>
        </is>
      </c>
    </row>
    <row r="4" ht="30" customHeight="1" s="28">
      <c r="A4" s="50" t="inlineStr">
        <is>
          <t>V6.1</t>
        </is>
      </c>
      <c r="B4" s="50" t="inlineStr">
        <is>
          <t>Authentication Documentation</t>
        </is>
      </c>
      <c r="C4" s="51" t="inlineStr">
        <is>
          <t>V6.1.2</t>
        </is>
      </c>
      <c r="D4" s="52" t="inlineStr">
        <is>
          <t>Verify that a list of context-specific words is documented in order to prevent their use in passwords. The list could include permutations of organization names, product names, system identifiers, project codenames, department or role names, and similar.</t>
        </is>
      </c>
      <c r="E4" s="48" t="n">
        <v>2</v>
      </c>
      <c r="F4" s="49" t="inlineStr">
        <is>
          <t>Compliant</t>
        </is>
      </c>
      <c r="G4" s="52" t="inlineStr">
        <is>
          <t>Only BCrypt or Argon2id permitted. MD5, SHA-1, unsalted SHA-256 explicitly prohibited.</t>
        </is>
      </c>
      <c r="H4" s="52" t="inlineStr">
        <is>
          <t>src/main/resources/application.properties – Auth0 enforces approved algorithms</t>
        </is>
      </c>
    </row>
    <row r="5" ht="30" customHeight="1" s="28">
      <c r="A5" s="45" t="inlineStr">
        <is>
          <t>V6.1</t>
        </is>
      </c>
      <c r="B5" s="45" t="inlineStr">
        <is>
          <t>Authentication Documentation</t>
        </is>
      </c>
      <c r="C5" s="46" t="inlineStr">
        <is>
          <t>V6.1.3</t>
        </is>
      </c>
      <c r="D5" s="47" t="inlineStr">
        <is>
          <t>Verify that, if the application includes multiple authentication pathways, these are all documented together with the security controls and authentication strength which must be consistently enforced across them.</t>
        </is>
      </c>
      <c r="E5" s="48" t="n">
        <v>2</v>
      </c>
      <c r="F5" s="49" t="inlineStr">
        <is>
          <t>Not Started</t>
        </is>
      </c>
      <c r="G5" s="47" t="inlineStr">
        <is>
          <t>Password strength policy (min 12 chars) to be enforced at registration endpoint in Phase 2.</t>
        </is>
      </c>
      <c r="H5" s="47" t="n"/>
    </row>
    <row r="6" ht="18" customHeight="1" s="28">
      <c r="A6" s="44" t="inlineStr">
        <is>
          <t>V6.2</t>
        </is>
      </c>
      <c r="B6" s="44" t="inlineStr">
        <is>
          <t>Password Security</t>
        </is>
      </c>
      <c r="C6" s="44" t="n"/>
      <c r="D6" s="44" t="n"/>
      <c r="E6" s="44" t="n"/>
      <c r="F6" s="44" t="n"/>
      <c r="G6" s="44" t="n"/>
      <c r="H6" s="44" t="n"/>
    </row>
    <row r="7" ht="30" customHeight="1" s="28">
      <c r="A7" s="45" t="inlineStr">
        <is>
          <t>V6.2</t>
        </is>
      </c>
      <c r="B7" s="45" t="inlineStr">
        <is>
          <t>Password Security</t>
        </is>
      </c>
      <c r="C7" s="46" t="inlineStr">
        <is>
          <t>V6.2.1</t>
        </is>
      </c>
      <c r="D7" s="47" t="inlineStr">
        <is>
          <t>Verify that user set passwords are at least 8 characters in length although a minimum of 15 characters is strongly recommended.</t>
        </is>
      </c>
      <c r="E7" s="53" t="n">
        <v>1</v>
      </c>
      <c r="F7" s="49" t="inlineStr">
        <is>
          <t>In Progress</t>
        </is>
      </c>
      <c r="G7" s="47" t="inlineStr">
        <is>
          <t>Rate limiting on auth endpoint defined (SDR-10): HTTP 429 after N failures. IsLocked=true on User aggregate. Thresholds to be configured in Phase 2.</t>
        </is>
      </c>
      <c r="H7" s="47" t="n"/>
    </row>
    <row r="8" ht="30" customHeight="1" s="28">
      <c r="A8" s="50" t="inlineStr">
        <is>
          <t>V6.2</t>
        </is>
      </c>
      <c r="B8" s="50" t="inlineStr">
        <is>
          <t>Password Security</t>
        </is>
      </c>
      <c r="C8" s="51" t="inlineStr">
        <is>
          <t>V6.2.2</t>
        </is>
      </c>
      <c r="D8" s="52" t="inlineStr">
        <is>
          <t>Verify that users can change their password.</t>
        </is>
      </c>
      <c r="E8" s="53" t="n">
        <v>1</v>
      </c>
      <c r="F8" s="49" t="inlineStr">
        <is>
          <t>Not Started</t>
        </is>
      </c>
      <c r="G8" s="52" t="inlineStr">
        <is>
          <t>Account lockout notification to user to be implemented in Phase 2.</t>
        </is>
      </c>
      <c r="H8" s="52" t="n"/>
    </row>
    <row r="9" ht="30" customHeight="1" s="28">
      <c r="A9" s="45" t="inlineStr">
        <is>
          <t>V6.2</t>
        </is>
      </c>
      <c r="B9" s="45" t="inlineStr">
        <is>
          <t>Password Security</t>
        </is>
      </c>
      <c r="C9" s="46" t="inlineStr">
        <is>
          <t>V6.2.3</t>
        </is>
      </c>
      <c r="D9" s="47" t="inlineStr">
        <is>
          <t>Verify that password change functionality requires the user's current and new password.</t>
        </is>
      </c>
      <c r="E9" s="53" t="n">
        <v>1</v>
      </c>
      <c r="F9" s="49" t="inlineStr">
        <is>
          <t>Not Started</t>
        </is>
      </c>
      <c r="G9" s="47" t="inlineStr">
        <is>
          <t>Secure password reset flow (one-time token, expiry) to be implemented in Phase 2.</t>
        </is>
      </c>
      <c r="H9" s="47" t="n"/>
    </row>
    <row r="10" ht="30" customHeight="1" s="28">
      <c r="A10" s="50" t="inlineStr">
        <is>
          <t>V6.2</t>
        </is>
      </c>
      <c r="B10" s="50" t="inlineStr">
        <is>
          <t>Password Security</t>
        </is>
      </c>
      <c r="C10" s="51" t="inlineStr">
        <is>
          <t>V6.2.4</t>
        </is>
      </c>
      <c r="D10" s="52" t="inlineStr">
        <is>
          <t>Verify that passwords submitted during account registration or password change are checked against an available set of, at least, the top 3000 passwords which match the application's password policy, e.g. minimum length.</t>
        </is>
      </c>
      <c r="E10" s="53" t="n">
        <v>1</v>
      </c>
      <c r="F10" s="49" t="inlineStr">
        <is>
          <t>In Progress</t>
        </is>
      </c>
      <c r="G10" s="52" t="inlineStr">
        <is>
          <t>CAPTCHA or exponential backoff against credential stuffing to be decided in Phase 2. Current design: IP-based rate limiting via SDR-10.</t>
        </is>
      </c>
      <c r="H10" s="52" t="n"/>
    </row>
    <row r="11" ht="30" customHeight="1" s="28">
      <c r="A11" s="45" t="inlineStr">
        <is>
          <t>V6.2</t>
        </is>
      </c>
      <c r="B11" s="45" t="inlineStr">
        <is>
          <t>Password Security</t>
        </is>
      </c>
      <c r="C11" s="46" t="inlineStr">
        <is>
          <t>V6.2.5</t>
        </is>
      </c>
      <c r="D11" s="47" t="inlineStr">
        <is>
          <t>Verify that passwords of any composition can be used, without rules limiting the type of characters permitted. There must be no requirement for a minimum number of upper or lower case characters, numbers, or special characters.</t>
        </is>
      </c>
      <c r="E11" s="53" t="n">
        <v>1</v>
      </c>
      <c r="F11" s="49" t="inlineStr">
        <is>
          <t>Not Started</t>
        </is>
      </c>
      <c r="G11" s="47" t="inlineStr">
        <is>
          <t>Breached password check to be evaluated in Phase 2.</t>
        </is>
      </c>
      <c r="H11" s="47" t="n"/>
    </row>
    <row r="12" ht="30" customHeight="1" s="28">
      <c r="A12" s="50" t="inlineStr">
        <is>
          <t>V6.2</t>
        </is>
      </c>
      <c r="B12" s="50" t="inlineStr">
        <is>
          <t>Password Security</t>
        </is>
      </c>
      <c r="C12" s="51" t="inlineStr">
        <is>
          <t>V6.2.6</t>
        </is>
      </c>
      <c r="D12" s="52" t="inlineStr">
        <is>
          <t>Verify that password input fields use type=password to mask the entry. Applications may allow the user to temporarily view the entire masked password, or the last typed character of the password.</t>
        </is>
      </c>
      <c r="E12" s="53" t="n">
        <v>1</v>
      </c>
      <c r="F12" s="49" t="inlineStr">
        <is>
          <t>Not Started</t>
        </is>
      </c>
      <c r="G12" s="52" t="inlineStr">
        <is>
          <t>Multi-factor authentication support to be designed in Phase 2.</t>
        </is>
      </c>
      <c r="H12" s="52" t="n"/>
    </row>
    <row r="13" ht="30" customHeight="1" s="28">
      <c r="A13" s="45" t="inlineStr">
        <is>
          <t>V6.2</t>
        </is>
      </c>
      <c r="B13" s="45" t="inlineStr">
        <is>
          <t>Password Security</t>
        </is>
      </c>
      <c r="C13" s="46" t="inlineStr">
        <is>
          <t>V6.2.7</t>
        </is>
      </c>
      <c r="D13" s="47" t="inlineStr">
        <is>
          <t>Verify that "paste" functionality, browser password helpers, and external password managers are permitted.</t>
        </is>
      </c>
      <c r="E13" s="53" t="n">
        <v>1</v>
      </c>
      <c r="F13" s="49" t="inlineStr">
        <is>
          <t>Not Started</t>
        </is>
      </c>
      <c r="G13" s="47" t="inlineStr">
        <is>
          <t>MFA recovery codes to be designed if MFA is implemented.</t>
        </is>
      </c>
      <c r="H13" s="47" t="n"/>
    </row>
    <row r="14" ht="30" customHeight="1" s="28">
      <c r="A14" s="50" t="inlineStr">
        <is>
          <t>V6.2</t>
        </is>
      </c>
      <c r="B14" s="50" t="inlineStr">
        <is>
          <t>Password Security</t>
        </is>
      </c>
      <c r="C14" s="51" t="inlineStr">
        <is>
          <t>V6.2.8</t>
        </is>
      </c>
      <c r="D14" s="52" t="inlineStr">
        <is>
          <t>Verify that the application verifies the user's password exactly as received from the user, without any modifications such as truncation or case transformation.</t>
        </is>
      </c>
      <c r="E14" s="53" t="n">
        <v>1</v>
      </c>
      <c r="F14" s="49" t="inlineStr">
        <is>
          <t>Not Applicable</t>
        </is>
      </c>
      <c r="G14" s="52" t="inlineStr">
        <is>
          <t>Hardware tokens (FIDO2) not in scope.</t>
        </is>
      </c>
      <c r="H14" s="52" t="n"/>
    </row>
    <row r="15" ht="30" customHeight="1" s="28">
      <c r="A15" s="45" t="inlineStr">
        <is>
          <t>V6.2</t>
        </is>
      </c>
      <c r="B15" s="45" t="inlineStr">
        <is>
          <t>Password Security</t>
        </is>
      </c>
      <c r="C15" s="46" t="inlineStr">
        <is>
          <t>V6.2.9</t>
        </is>
      </c>
      <c r="D15" s="47" t="inlineStr">
        <is>
          <t>Verify that passwords of at least 64 characters are permitted.</t>
        </is>
      </c>
      <c r="E15" s="48" t="n">
        <v>2</v>
      </c>
      <c r="F15" s="49" t="inlineStr">
        <is>
          <t>Not Applicable</t>
        </is>
      </c>
      <c r="G15" s="47" t="inlineStr">
        <is>
          <t>Biometric authentication not in scope.</t>
        </is>
      </c>
      <c r="H15" s="47" t="n"/>
    </row>
    <row r="16" ht="30" customHeight="1" s="28">
      <c r="A16" s="50" t="inlineStr">
        <is>
          <t>V6.2</t>
        </is>
      </c>
      <c r="B16" s="50" t="inlineStr">
        <is>
          <t>Password Security</t>
        </is>
      </c>
      <c r="C16" s="51" t="inlineStr">
        <is>
          <t>V6.2.10</t>
        </is>
      </c>
      <c r="D16" s="52" t="inlineStr">
        <is>
          <t>Verify that a user's password stays valid until it is discovered to be compromised or the user rotates it. The application must not require periodic credential rotation.</t>
        </is>
      </c>
      <c r="E16" s="48" t="n">
        <v>2</v>
      </c>
      <c r="F16" s="49" t="inlineStr">
        <is>
          <t>Not Applicable</t>
        </is>
      </c>
      <c r="G16" s="52" t="inlineStr">
        <is>
          <t>SMS OTP not planned.</t>
        </is>
      </c>
      <c r="H16" s="52" t="n"/>
    </row>
    <row r="17" ht="30" customHeight="1" s="28">
      <c r="A17" s="45" t="inlineStr">
        <is>
          <t>V6.2</t>
        </is>
      </c>
      <c r="B17" s="45" t="inlineStr">
        <is>
          <t>Password Security</t>
        </is>
      </c>
      <c r="C17" s="46" t="inlineStr">
        <is>
          <t>V6.2.11</t>
        </is>
      </c>
      <c r="D17" s="47" t="inlineStr">
        <is>
          <t>Verify that the documented list of context specific words is used to prevent easy to guess passwords being created.</t>
        </is>
      </c>
      <c r="E17" s="48" t="n">
        <v>2</v>
      </c>
      <c r="F17" s="49" t="inlineStr">
        <is>
          <t>Not Applicable</t>
        </is>
      </c>
      <c r="G17" s="47" t="inlineStr">
        <is>
          <t>Push notifications for MFA not planned.</t>
        </is>
      </c>
      <c r="H17" s="47" t="n"/>
    </row>
    <row r="18" ht="30" customHeight="1" s="28">
      <c r="A18" s="50" t="inlineStr">
        <is>
          <t>V6.2</t>
        </is>
      </c>
      <c r="B18" s="50" t="inlineStr">
        <is>
          <t>Password Security</t>
        </is>
      </c>
      <c r="C18" s="51" t="inlineStr">
        <is>
          <t>V6.2.12</t>
        </is>
      </c>
      <c r="D18" s="52" t="inlineStr">
        <is>
          <t>Verify that passwords submitted during account registration or password changes are checked against a set of breached passwords.</t>
        </is>
      </c>
      <c r="E18" s="48" t="n">
        <v>2</v>
      </c>
      <c r="F18" s="49" t="inlineStr">
        <is>
          <t>Not Started</t>
        </is>
      </c>
      <c r="G18" s="52" t="inlineStr">
        <is>
          <t>TOTP to be evaluated in Phase 2 if MFA is added.</t>
        </is>
      </c>
      <c r="H18" s="52" t="n"/>
    </row>
    <row r="19" ht="18" customHeight="1" s="28">
      <c r="A19" s="44" t="inlineStr">
        <is>
          <t>V6.3</t>
        </is>
      </c>
      <c r="B19" s="44" t="inlineStr">
        <is>
          <t>General Authentication Security</t>
        </is>
      </c>
      <c r="C19" s="44" t="n"/>
      <c r="D19" s="44" t="n"/>
      <c r="E19" s="44" t="n"/>
      <c r="F19" s="44" t="n"/>
      <c r="G19" s="44" t="n"/>
      <c r="H19" s="44" t="n"/>
    </row>
    <row r="20" ht="30" customHeight="1" s="28">
      <c r="A20" s="45" t="inlineStr">
        <is>
          <t>V6.3</t>
        </is>
      </c>
      <c r="B20" s="45" t="inlineStr">
        <is>
          <t>General Authentication Security</t>
        </is>
      </c>
      <c r="C20" s="46" t="inlineStr">
        <is>
          <t>V6.3.1</t>
        </is>
      </c>
      <c r="D20" s="47" t="inlineStr">
        <is>
          <t>Verify that controls to prevent attacks such as credential stuffing and password brute force are implemented according to the application's security documentation.</t>
        </is>
      </c>
      <c r="E20" s="53" t="n">
        <v>1</v>
      </c>
      <c r="F20" s="49" t="inlineStr">
        <is>
          <t>Compliant</t>
        </is>
      </c>
      <c r="G20" s="47" t="inlineStr">
        <is>
          <t>Generic 'Invalid credentials' error returned for both user-not-found and wrong-password. Prevents user enumeration.</t>
        </is>
      </c>
      <c r="H20" s="47" t="inlineStr">
        <is>
          <t>src/main/java/pt/isep/desofs/enderchest/config/GlobalSecurityExceptionHandler.java</t>
        </is>
      </c>
    </row>
    <row r="21" ht="30" customHeight="1" s="28">
      <c r="A21" s="50" t="inlineStr">
        <is>
          <t>V6.3</t>
        </is>
      </c>
      <c r="B21" s="50" t="inlineStr">
        <is>
          <t>General Authentication Security</t>
        </is>
      </c>
      <c r="C21" s="51" t="inlineStr">
        <is>
          <t>V6.3.2</t>
        </is>
      </c>
      <c r="D21" s="52" t="inlineStr">
        <is>
          <t>Verify that default user accounts (e.g., "root", "admin", or "sa") are not present in the application or are disabled.</t>
        </is>
      </c>
      <c r="E21" s="53" t="n">
        <v>1</v>
      </c>
      <c r="F21" s="49" t="inlineStr">
        <is>
          <t>Not Started</t>
        </is>
      </c>
      <c r="G21" s="52" t="inlineStr">
        <is>
          <t>Password policy feedback to user to be implemented in Phase 2.</t>
        </is>
      </c>
      <c r="H21" s="52" t="n"/>
    </row>
    <row r="22" ht="30" customHeight="1" s="28">
      <c r="A22" s="45" t="inlineStr">
        <is>
          <t>V6.3</t>
        </is>
      </c>
      <c r="B22" s="45" t="inlineStr">
        <is>
          <t>General Authentication Security</t>
        </is>
      </c>
      <c r="C22" s="46" t="inlineStr">
        <is>
          <t>V6.3.3</t>
        </is>
      </c>
      <c r="D22" s="47"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48" t="n">
        <v>2</v>
      </c>
      <c r="F22" s="56" t="inlineStr">
        <is>
          <t>Compliant</t>
        </is>
      </c>
      <c r="G22" s="47" t="inlineStr">
        <is>
          <t>JWT signing key stored in environment variable / secrets vault. Never hardcoded in source. Key rotation procedure to be defined in Phase 2.</t>
        </is>
      </c>
      <c r="H22" s="47" t="inlineStr">
        <is>
          <t>src/main/resources/application.properties – Auth0 issuer-uri / jwk-set-uri configured; key never hardcoded</t>
        </is>
      </c>
    </row>
    <row r="23" ht="30" customHeight="1" s="28">
      <c r="A23" s="50" t="inlineStr">
        <is>
          <t>V6.3</t>
        </is>
      </c>
      <c r="B23" s="50" t="inlineStr">
        <is>
          <t>General Authentication Security</t>
        </is>
      </c>
      <c r="C23" s="51" t="inlineStr">
        <is>
          <t>V6.3.4</t>
        </is>
      </c>
      <c r="D23" s="52" t="inlineStr">
        <is>
          <t>Verify that, if the application includes multiple authentication pathways, there are no undocumented pathways and that security controls and authentication strength are enforced consistently.</t>
        </is>
      </c>
      <c r="E23" s="48" t="n">
        <v>2</v>
      </c>
      <c r="F23" s="49" t="inlineStr">
        <is>
          <t>Not Applicable</t>
        </is>
      </c>
      <c r="G23" s="52" t="inlineStr">
        <is>
          <t>No knowledge-based authentication questions used.</t>
        </is>
      </c>
      <c r="H23" s="52" t="n"/>
    </row>
    <row r="24" ht="30" customHeight="1" s="28">
      <c r="A24" s="45" t="inlineStr">
        <is>
          <t>V6.3</t>
        </is>
      </c>
      <c r="B24" s="45" t="inlineStr">
        <is>
          <t>General Authentication Security</t>
        </is>
      </c>
      <c r="C24" s="46" t="inlineStr">
        <is>
          <t>V6.3.5</t>
        </is>
      </c>
      <c r="D24" s="47"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54" t="n">
        <v>3</v>
      </c>
      <c r="F24" s="49" t="inlineStr">
        <is>
          <t>Not Applicable</t>
        </is>
      </c>
      <c r="G24" s="47" t="inlineStr">
        <is>
          <t>No magic link authentication implemented.</t>
        </is>
      </c>
      <c r="H24" s="47" t="n"/>
    </row>
    <row r="25" ht="30" customHeight="1" s="28">
      <c r="A25" s="50" t="inlineStr">
        <is>
          <t>V6.3</t>
        </is>
      </c>
      <c r="B25" s="50" t="inlineStr">
        <is>
          <t>General Authentication Security</t>
        </is>
      </c>
      <c r="C25" s="51" t="inlineStr">
        <is>
          <t>V6.3.6</t>
        </is>
      </c>
      <c r="D25" s="52" t="inlineStr">
        <is>
          <t>Verify that email is not used as either a single-factor or multi-factor authentication mechanism.</t>
        </is>
      </c>
      <c r="E25" s="54" t="n">
        <v>3</v>
      </c>
      <c r="F25" s="49" t="inlineStr">
        <is>
          <t>Not Applicable</t>
        </is>
      </c>
      <c r="G25" s="52" t="inlineStr">
        <is>
          <t>No OAuth device authorization flow.</t>
        </is>
      </c>
      <c r="H25" s="52" t="n"/>
    </row>
    <row r="26" ht="30" customHeight="1" s="28">
      <c r="A26" s="45" t="inlineStr">
        <is>
          <t>V6.3</t>
        </is>
      </c>
      <c r="B26" s="45" t="inlineStr">
        <is>
          <t>General Authentication Security</t>
        </is>
      </c>
      <c r="C26" s="46" t="inlineStr">
        <is>
          <t>V6.3.7</t>
        </is>
      </c>
      <c r="D26" s="47" t="inlineStr">
        <is>
          <t>Verify that users are notified after updates to authentication details, such as credential resets or modification of the username or email address.</t>
        </is>
      </c>
      <c r="E26" s="54" t="n">
        <v>3</v>
      </c>
      <c r="F26" s="49" t="inlineStr">
        <is>
          <t>Not Applicable</t>
        </is>
      </c>
      <c r="G26" s="47" t="inlineStr">
        <is>
          <t>No federated identity / SSO in scope.</t>
        </is>
      </c>
      <c r="H26" s="47" t="n"/>
    </row>
    <row r="27" ht="30" customHeight="1" s="28">
      <c r="A27" s="50" t="inlineStr">
        <is>
          <t>V6.3</t>
        </is>
      </c>
      <c r="B27" s="50" t="inlineStr">
        <is>
          <t>General Authentication Security</t>
        </is>
      </c>
      <c r="C27" s="51" t="inlineStr">
        <is>
          <t>V6.3.8</t>
        </is>
      </c>
      <c r="D27" s="52" t="inlineStr">
        <is>
          <t>Verify that valid users cannot be deduced from failed authentication challenges, such as by basing on error messages, HTTP response codes, or different response times. Registration and forgot password functionality must also have this protection.</t>
        </is>
      </c>
      <c r="E27" s="54" t="n">
        <v>3</v>
      </c>
      <c r="F27" s="49" t="inlineStr">
        <is>
          <t>Compliant</t>
        </is>
      </c>
      <c r="G27" s="52" t="inlineStr">
        <is>
          <t>All authentication success and failure events logged with timestamp, userId, sourceIP, outcome to ELK/SIEM.</t>
        </is>
      </c>
      <c r="H27" s="52" t="inlineStr">
        <is>
          <t>src/main/java/pt/isep/desofs/enderchest/config/GlobalSecurityExceptionHandler.java</t>
        </is>
      </c>
    </row>
    <row r="28" ht="18" customHeight="1" s="28">
      <c r="A28" s="44" t="inlineStr">
        <is>
          <t>V6.4</t>
        </is>
      </c>
      <c r="B28" s="44" t="inlineStr">
        <is>
          <t>Authentication Factor Lifecycle and Recovery</t>
        </is>
      </c>
      <c r="C28" s="44" t="n"/>
      <c r="D28" s="44" t="n"/>
      <c r="E28" s="44" t="n"/>
      <c r="F28" s="44" t="n"/>
      <c r="G28" s="44" t="n"/>
      <c r="H28" s="44" t="n"/>
    </row>
    <row r="29" ht="30" customHeight="1" s="28">
      <c r="A29" s="45" t="inlineStr">
        <is>
          <t>V6.4</t>
        </is>
      </c>
      <c r="B29" s="45" t="inlineStr">
        <is>
          <t>Authentication Factor Lifecycle and Recovery</t>
        </is>
      </c>
      <c r="C29" s="46" t="inlineStr">
        <is>
          <t>V6.4.1</t>
        </is>
      </c>
      <c r="D29" s="47"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53" t="n">
        <v>1</v>
      </c>
      <c r="F29" s="49" t="inlineStr">
        <is>
          <t>Not Started</t>
        </is>
      </c>
      <c r="G29" s="47" t="inlineStr">
        <is>
          <t>Credential storage encryption at rest to be verified in Phase 2.</t>
        </is>
      </c>
      <c r="H29" s="47" t="n"/>
    </row>
    <row r="30" ht="30" customHeight="1" s="28">
      <c r="A30" s="50" t="inlineStr">
        <is>
          <t>V6.4</t>
        </is>
      </c>
      <c r="B30" s="50" t="inlineStr">
        <is>
          <t>Authentication Factor Lifecycle and Recovery</t>
        </is>
      </c>
      <c r="C30" s="51" t="inlineStr">
        <is>
          <t>V6.4.2</t>
        </is>
      </c>
      <c r="D30" s="52" t="inlineStr">
        <is>
          <t>Verify that password hints or knowledge-based authentication (so-called "secret questions") are not present.</t>
        </is>
      </c>
      <c r="E30" s="53" t="n">
        <v>1</v>
      </c>
      <c r="F30" s="49" t="inlineStr">
        <is>
          <t>Not Started</t>
        </is>
      </c>
      <c r="G30" s="52" t="inlineStr">
        <is>
          <t>Secrets management solution to be configured in Phase 2.</t>
        </is>
      </c>
      <c r="H30" s="52" t="n"/>
    </row>
    <row r="31" ht="30" customHeight="1" s="28">
      <c r="A31" s="45" t="inlineStr">
        <is>
          <t>V6.4</t>
        </is>
      </c>
      <c r="B31" s="45" t="inlineStr">
        <is>
          <t>Authentication Factor Lifecycle and Recovery</t>
        </is>
      </c>
      <c r="C31" s="46" t="inlineStr">
        <is>
          <t>V6.4.3</t>
        </is>
      </c>
      <c r="D31" s="47" t="inlineStr">
        <is>
          <t>Verify that a secure process for resetting a forgotten password is implemented, that does not bypass any enabled multi-factor authentication mechanisms.</t>
        </is>
      </c>
      <c r="E31" s="48" t="n">
        <v>2</v>
      </c>
      <c r="F31" s="49" t="inlineStr">
        <is>
          <t>Not Started</t>
        </is>
      </c>
      <c r="G31" s="47" t="inlineStr">
        <is>
          <t>Rotation of application credentials policy to be defined.</t>
        </is>
      </c>
      <c r="H31" s="47" t="n"/>
    </row>
    <row r="32" ht="30" customHeight="1" s="28">
      <c r="A32" s="50" t="inlineStr">
        <is>
          <t>V6.4</t>
        </is>
      </c>
      <c r="B32" s="50" t="inlineStr">
        <is>
          <t>Authentication Factor Lifecycle and Recovery</t>
        </is>
      </c>
      <c r="C32" s="51" t="inlineStr">
        <is>
          <t>V6.4.4</t>
        </is>
      </c>
      <c r="D32" s="52" t="inlineStr">
        <is>
          <t>Verify that if a multi-factor authentication factor is lost, evidence of identity proofing is performed at the same level as during enrollment.</t>
        </is>
      </c>
      <c r="E32" s="48" t="n">
        <v>2</v>
      </c>
      <c r="F32" s="49" t="inlineStr">
        <is>
          <t>Not Applicable</t>
        </is>
      </c>
      <c r="G32" s="52" t="inlineStr">
        <is>
          <t>No shared secrets across tenants.</t>
        </is>
      </c>
      <c r="H32" s="52" t="n"/>
    </row>
    <row r="33" ht="30" customHeight="1" s="28">
      <c r="A33" s="45" t="inlineStr">
        <is>
          <t>V6.4</t>
        </is>
      </c>
      <c r="B33" s="45" t="inlineStr">
        <is>
          <t>Authentication Factor Lifecycle and Recovery</t>
        </is>
      </c>
      <c r="C33" s="46" t="inlineStr">
        <is>
          <t>V6.4.5</t>
        </is>
      </c>
      <c r="D33" s="47" t="inlineStr">
        <is>
          <t>Verify that renewal instructions for authentication mechanisms which expire are sent with enough time to be carried out before the old authentication mechanism expires, configuring automated reminders if necessary.</t>
        </is>
      </c>
      <c r="E33" s="54" t="n">
        <v>3</v>
      </c>
      <c r="F33" s="49" t="inlineStr">
        <is>
          <t>Not Applicable</t>
        </is>
      </c>
      <c r="G33" s="47" t="inlineStr">
        <is>
          <t>No service accounts with shared credentials.</t>
        </is>
      </c>
      <c r="H33" s="47" t="n"/>
    </row>
    <row r="34" ht="30" customHeight="1" s="28">
      <c r="A34" s="50" t="inlineStr">
        <is>
          <t>V6.4</t>
        </is>
      </c>
      <c r="B34" s="50" t="inlineStr">
        <is>
          <t>Authentication Factor Lifecycle and Recovery</t>
        </is>
      </c>
      <c r="C34" s="51" t="inlineStr">
        <is>
          <t>V6.4.6</t>
        </is>
      </c>
      <c r="D34" s="52" t="inlineStr">
        <is>
          <t>Verify that administrative users can initiate the password reset process for the user, but that this does not allow them to change or choose the user's password. This prevents a situation where they know the user's password.</t>
        </is>
      </c>
      <c r="E34" s="54" t="n">
        <v>3</v>
      </c>
      <c r="F34" s="49" t="inlineStr">
        <is>
          <t>Not Applicable</t>
        </is>
      </c>
      <c r="G34" s="52" t="inlineStr">
        <is>
          <t>No certificate-based machine authentication.</t>
        </is>
      </c>
      <c r="H34" s="52" t="n"/>
    </row>
    <row r="35" ht="18" customHeight="1" s="28">
      <c r="A35" s="44" t="inlineStr">
        <is>
          <t>V6.5</t>
        </is>
      </c>
      <c r="B35" s="44" t="inlineStr">
        <is>
          <t>General Multi-factor authentication requirements</t>
        </is>
      </c>
      <c r="C35" s="44" t="n"/>
      <c r="D35" s="44" t="n"/>
      <c r="E35" s="44" t="n"/>
      <c r="F35" s="44" t="n"/>
      <c r="G35" s="44" t="n"/>
      <c r="H35" s="44" t="n"/>
    </row>
    <row r="36" ht="30" customHeight="1" s="28">
      <c r="A36" s="45" t="inlineStr">
        <is>
          <t>V6.5</t>
        </is>
      </c>
      <c r="B36" s="45" t="inlineStr">
        <is>
          <t>General Multi-factor authentication requirements</t>
        </is>
      </c>
      <c r="C36" s="46" t="inlineStr">
        <is>
          <t>V6.5.1</t>
        </is>
      </c>
      <c r="D36" s="47" t="inlineStr">
        <is>
          <t>Verify that lookup secrets, out-of-band authentication requests or codes, and time-based one-time passwords (TOTPs) are only successfully usable once.</t>
        </is>
      </c>
      <c r="E36" s="48" t="n">
        <v>2</v>
      </c>
      <c r="F36" s="49" t="inlineStr">
        <is>
          <t>Not Applicable</t>
        </is>
      </c>
      <c r="G36" s="47" t="inlineStr">
        <is>
          <t>No LDAP authentication.</t>
        </is>
      </c>
      <c r="H36" s="47" t="n"/>
    </row>
    <row r="37" ht="30" customHeight="1" s="28">
      <c r="A37" s="50" t="inlineStr">
        <is>
          <t>V6.5</t>
        </is>
      </c>
      <c r="B37" s="50" t="inlineStr">
        <is>
          <t>General Multi-factor authentication requirements</t>
        </is>
      </c>
      <c r="C37" s="51" t="inlineStr">
        <is>
          <t>V6.5.2</t>
        </is>
      </c>
      <c r="D37" s="52"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48" t="n">
        <v>2</v>
      </c>
      <c r="F37" s="49" t="inlineStr">
        <is>
          <t>Not Applicable</t>
        </is>
      </c>
      <c r="G37" s="52" t="inlineStr">
        <is>
          <t>No Kerberos authentication.</t>
        </is>
      </c>
      <c r="H37" s="52" t="n"/>
    </row>
    <row r="38" ht="30" customHeight="1" s="28">
      <c r="A38" s="45" t="inlineStr">
        <is>
          <t>V6.5</t>
        </is>
      </c>
      <c r="B38" s="45" t="inlineStr">
        <is>
          <t>General Multi-factor authentication requirements</t>
        </is>
      </c>
      <c r="C38" s="46" t="inlineStr">
        <is>
          <t>V6.5.3</t>
        </is>
      </c>
      <c r="D38" s="47" t="inlineStr">
        <is>
          <t>Verify that lookup secrets, out-of-band authentication code, and time-based one-time password seeds, are generated using a Cryptographically Secure Pseudorandom Number Generator (CSPRNG) to avoid predictable values.</t>
        </is>
      </c>
      <c r="E38" s="48" t="n">
        <v>2</v>
      </c>
      <c r="F38" s="49" t="inlineStr">
        <is>
          <t>Not Applicable</t>
        </is>
      </c>
      <c r="G38" s="47" t="inlineStr">
        <is>
          <t>No SAML authentication.</t>
        </is>
      </c>
      <c r="H38" s="47" t="n"/>
    </row>
    <row r="39" ht="30" customHeight="1" s="28">
      <c r="A39" s="50" t="inlineStr">
        <is>
          <t>V6.5</t>
        </is>
      </c>
      <c r="B39" s="50" t="inlineStr">
        <is>
          <t>General Multi-factor authentication requirements</t>
        </is>
      </c>
      <c r="C39" s="51" t="inlineStr">
        <is>
          <t>V6.5.4</t>
        </is>
      </c>
      <c r="D39" s="52" t="inlineStr">
        <is>
          <t>Verify that lookup secrets and out-of-band authentication codes have a minimum of 20 bits of entropy (typically 4 random alphanumeric characters or 6 random digits is sufficient).</t>
        </is>
      </c>
      <c r="E39" s="48" t="n">
        <v>2</v>
      </c>
      <c r="F39" s="49" t="inlineStr">
        <is>
          <t>Not Applicable</t>
        </is>
      </c>
      <c r="G39" s="52" t="inlineStr">
        <is>
          <t>No CAS authentication.</t>
        </is>
      </c>
      <c r="H39" s="52" t="n"/>
    </row>
    <row r="40" ht="30" customHeight="1" s="28">
      <c r="A40" s="45" t="inlineStr">
        <is>
          <t>V6.5</t>
        </is>
      </c>
      <c r="B40" s="45" t="inlineStr">
        <is>
          <t>General Multi-factor authentication requirements</t>
        </is>
      </c>
      <c r="C40" s="46" t="inlineStr">
        <is>
          <t>V6.5.5</t>
        </is>
      </c>
      <c r="D40" s="47" t="inlineStr">
        <is>
          <t>Verify that out-of-band authentication requests, codes, or tokens, as well as time-based one-time passwords (TOTPs) have a defined lifetime. Out of band requests must have a maximum lifetime of 10 minutes and for TOTP a maximum lifetime of 30 seconds.</t>
        </is>
      </c>
      <c r="E40" s="48" t="n">
        <v>2</v>
      </c>
      <c r="F40" s="49" t="inlineStr">
        <is>
          <t>Not Applicable</t>
        </is>
      </c>
      <c r="G40" s="47" t="inlineStr">
        <is>
          <t>No Windows authentication.</t>
        </is>
      </c>
      <c r="H40" s="47" t="n"/>
    </row>
    <row r="41" ht="30" customHeight="1" s="28">
      <c r="A41" s="50" t="inlineStr">
        <is>
          <t>V6.5</t>
        </is>
      </c>
      <c r="B41" s="50" t="inlineStr">
        <is>
          <t>General Multi-factor authentication requirements</t>
        </is>
      </c>
      <c r="C41" s="51" t="inlineStr">
        <is>
          <t>V6.5.6</t>
        </is>
      </c>
      <c r="D41" s="52" t="inlineStr">
        <is>
          <t>Verify that any authentication factor (including physical devices) can be revoked in case of theft or other loss.</t>
        </is>
      </c>
      <c r="E41" s="54" t="n">
        <v>3</v>
      </c>
      <c r="F41" s="49" t="inlineStr">
        <is>
          <t>Not Applicable</t>
        </is>
      </c>
      <c r="G41" s="52" t="inlineStr">
        <is>
          <t>No digest authentication.</t>
        </is>
      </c>
      <c r="H41" s="52" t="n"/>
    </row>
    <row r="42" ht="30" customHeight="1" s="28">
      <c r="A42" s="45" t="inlineStr">
        <is>
          <t>V6.5</t>
        </is>
      </c>
      <c r="B42" s="45" t="inlineStr">
        <is>
          <t>General Multi-factor authentication requirements</t>
        </is>
      </c>
      <c r="C42" s="46" t="inlineStr">
        <is>
          <t>V6.5.7</t>
        </is>
      </c>
      <c r="D42" s="47" t="inlineStr">
        <is>
          <t>Verify that biometric authentication mechanisms are only used as secondary factors together with either something you have or something you know.</t>
        </is>
      </c>
      <c r="E42" s="54" t="n">
        <v>3</v>
      </c>
      <c r="F42" s="49" t="inlineStr">
        <is>
          <t>Not Applicable</t>
        </is>
      </c>
      <c r="G42" s="47" t="inlineStr">
        <is>
          <t>No basic authentication.</t>
        </is>
      </c>
      <c r="H42" s="47" t="n"/>
    </row>
    <row r="43" ht="30" customHeight="1" s="28">
      <c r="A43" s="50" t="inlineStr">
        <is>
          <t>V6.5</t>
        </is>
      </c>
      <c r="B43" s="50" t="inlineStr">
        <is>
          <t>General Multi-factor authentication requirements</t>
        </is>
      </c>
      <c r="C43" s="51" t="inlineStr">
        <is>
          <t>V6.5.8</t>
        </is>
      </c>
      <c r="D43" s="52" t="inlineStr">
        <is>
          <t>Verify that time-based one-time passwords (TOTPs) are checked based on a time source from a trusted service and not from an untrusted or client provided time.</t>
        </is>
      </c>
      <c r="E43" s="54" t="n">
        <v>3</v>
      </c>
      <c r="F43" s="49" t="inlineStr">
        <is>
          <t>Not Applicable</t>
        </is>
      </c>
      <c r="G43" s="52" t="inlineStr">
        <is>
          <t>No certificate-based client authentication.</t>
        </is>
      </c>
      <c r="H43" s="52" t="n"/>
    </row>
    <row r="44" ht="18" customHeight="1" s="28">
      <c r="A44" s="44" t="inlineStr">
        <is>
          <t>V6.6</t>
        </is>
      </c>
      <c r="B44" s="44" t="inlineStr">
        <is>
          <t>Out-of-Band authentication mechanisms</t>
        </is>
      </c>
      <c r="C44" s="44" t="n"/>
      <c r="D44" s="44" t="n"/>
      <c r="E44" s="44" t="n"/>
      <c r="F44" s="44" t="n"/>
      <c r="G44" s="44" t="n"/>
      <c r="H44" s="44" t="n"/>
    </row>
    <row r="45" ht="30" customHeight="1" s="28">
      <c r="A45" s="45" t="inlineStr">
        <is>
          <t>V6.6</t>
        </is>
      </c>
      <c r="B45" s="45" t="inlineStr">
        <is>
          <t>Out-of-Band authentication mechanisms</t>
        </is>
      </c>
      <c r="C45" s="46" t="inlineStr">
        <is>
          <t>V6.6.1</t>
        </is>
      </c>
      <c r="D45" s="47"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48" t="n">
        <v>2</v>
      </c>
      <c r="F45" s="49" t="inlineStr">
        <is>
          <t>Not Applicable</t>
        </is>
      </c>
      <c r="G45" s="47" t="inlineStr">
        <is>
          <t>No OAuth 2.0 used.</t>
        </is>
      </c>
      <c r="H45" s="47" t="n"/>
    </row>
    <row r="46" ht="30" customHeight="1" s="28">
      <c r="A46" s="50" t="inlineStr">
        <is>
          <t>V6.6</t>
        </is>
      </c>
      <c r="B46" s="50" t="inlineStr">
        <is>
          <t>Out-of-Band authentication mechanisms</t>
        </is>
      </c>
      <c r="C46" s="51" t="inlineStr">
        <is>
          <t>V6.6.2</t>
        </is>
      </c>
      <c r="D46" s="52" t="inlineStr">
        <is>
          <t>Verify that out-of-band authentication requests, codes, or tokens are bound to the original authentication request for which they were generated and are not usable for a previous or subsequent one.</t>
        </is>
      </c>
      <c r="E46" s="48" t="n">
        <v>2</v>
      </c>
      <c r="F46" s="49" t="inlineStr">
        <is>
          <t>Not Applicable</t>
        </is>
      </c>
      <c r="G46" s="52" t="inlineStr">
        <is>
          <t>No OAuth 2.0 used.</t>
        </is>
      </c>
      <c r="H46" s="52" t="n"/>
    </row>
    <row r="47" ht="30" customHeight="1" s="28">
      <c r="A47" s="45" t="inlineStr">
        <is>
          <t>V6.6</t>
        </is>
      </c>
      <c r="B47" s="45" t="inlineStr">
        <is>
          <t>Out-of-Band authentication mechanisms</t>
        </is>
      </c>
      <c r="C47" s="46" t="inlineStr">
        <is>
          <t>V6.6.3</t>
        </is>
      </c>
      <c r="D47" s="47" t="inlineStr">
        <is>
          <t>Verify that a code based out-of-band authentication mechanism is protected against brute force attacks by using rate limiting. Consider also using a code with at least 64 bits of entropy.</t>
        </is>
      </c>
      <c r="E47" s="48" t="n">
        <v>2</v>
      </c>
      <c r="F47" s="49" t="inlineStr">
        <is>
          <t>Not Applicable</t>
        </is>
      </c>
      <c r="G47" s="47" t="inlineStr">
        <is>
          <t>No OAuth 2.0 used.</t>
        </is>
      </c>
      <c r="H47" s="47" t="n"/>
    </row>
    <row r="48" ht="30" customHeight="1" s="28">
      <c r="A48" s="50" t="inlineStr">
        <is>
          <t>V6.6</t>
        </is>
      </c>
      <c r="B48" s="50" t="inlineStr">
        <is>
          <t>Out-of-Band authentication mechanisms</t>
        </is>
      </c>
      <c r="C48" s="51" t="inlineStr">
        <is>
          <t>V6.6.4</t>
        </is>
      </c>
      <c r="D48" s="52" t="inlineStr">
        <is>
          <t>Verify that, where push notifications are used for multi-factor authentication, rate limiting is used to prevent push bombing attacks. Number matching may also mitigate this risk.</t>
        </is>
      </c>
      <c r="E48" s="54" t="n">
        <v>3</v>
      </c>
      <c r="F48" s="49" t="inlineStr">
        <is>
          <t>Not Applicable</t>
        </is>
      </c>
      <c r="G48" s="52" t="inlineStr">
        <is>
          <t>No OAuth 2.0 used.</t>
        </is>
      </c>
      <c r="H48" s="52" t="n"/>
    </row>
    <row r="49" ht="18" customHeight="1" s="28">
      <c r="A49" s="44" t="inlineStr">
        <is>
          <t>V6.7</t>
        </is>
      </c>
      <c r="B49" s="44" t="inlineStr">
        <is>
          <t>Cryptographic authentication mechanism</t>
        </is>
      </c>
      <c r="C49" s="44" t="n"/>
      <c r="D49" s="44" t="n"/>
      <c r="E49" s="44" t="n"/>
      <c r="F49" s="44" t="n"/>
      <c r="G49" s="44" t="n"/>
      <c r="H49" s="44" t="n"/>
    </row>
    <row r="50" ht="30" customHeight="1" s="28">
      <c r="A50" s="45" t="inlineStr">
        <is>
          <t>V6.7</t>
        </is>
      </c>
      <c r="B50" s="45" t="inlineStr">
        <is>
          <t>Cryptographic authentication mechanism</t>
        </is>
      </c>
      <c r="C50" s="46" t="inlineStr">
        <is>
          <t>V6.7.1</t>
        </is>
      </c>
      <c r="D50" s="47" t="inlineStr">
        <is>
          <t>Verify that the certificates used to verify cryptographic authentication assertions are stored in a way protects them from modification.</t>
        </is>
      </c>
      <c r="E50" s="54" t="n">
        <v>3</v>
      </c>
      <c r="F50" s="49" t="inlineStr">
        <is>
          <t>Not Applicable</t>
        </is>
      </c>
      <c r="G50" s="47" t="inlineStr">
        <is>
          <t>No OpenID Connect used.</t>
        </is>
      </c>
      <c r="H50" s="47" t="n"/>
    </row>
    <row r="51" ht="30" customHeight="1" s="28">
      <c r="A51" s="50" t="inlineStr">
        <is>
          <t>V6.7</t>
        </is>
      </c>
      <c r="B51" s="50" t="inlineStr">
        <is>
          <t>Cryptographic authentication mechanism</t>
        </is>
      </c>
      <c r="C51" s="51" t="inlineStr">
        <is>
          <t>V6.7.2</t>
        </is>
      </c>
      <c r="D51" s="52" t="inlineStr">
        <is>
          <t>Verify that the challenge nonce is at least 64 bits in length, and statistically unique or unique over the lifetime of the cryptographic device.</t>
        </is>
      </c>
      <c r="E51" s="54" t="n">
        <v>3</v>
      </c>
      <c r="F51" s="49" t="inlineStr">
        <is>
          <t>Not Applicable</t>
        </is>
      </c>
      <c r="G51" s="52" t="inlineStr">
        <is>
          <t>No OpenID Connect used.</t>
        </is>
      </c>
      <c r="H51" s="52" t="n"/>
    </row>
    <row r="52" ht="18" customHeight="1" s="28">
      <c r="A52" s="44" t="inlineStr">
        <is>
          <t>V6.8</t>
        </is>
      </c>
      <c r="B52" s="44" t="inlineStr">
        <is>
          <t>Authentication with an Identity Provider</t>
        </is>
      </c>
      <c r="C52" s="44" t="n"/>
      <c r="D52" s="44" t="n"/>
      <c r="E52" s="44" t="n"/>
      <c r="F52" s="44" t="n"/>
      <c r="G52" s="44" t="n"/>
      <c r="H52" s="44" t="n"/>
    </row>
    <row r="53" ht="30" customHeight="1" s="28">
      <c r="A53" s="45" t="inlineStr">
        <is>
          <t>V6.8</t>
        </is>
      </c>
      <c r="B53" s="45" t="inlineStr">
        <is>
          <t>Authentication with an Identity Provider</t>
        </is>
      </c>
      <c r="C53" s="46" t="inlineStr">
        <is>
          <t>V6.8.1</t>
        </is>
      </c>
      <c r="D53" s="47"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48" t="n">
        <v>2</v>
      </c>
      <c r="F53" s="49" t="inlineStr">
        <is>
          <t>Not Started</t>
        </is>
      </c>
      <c r="G53" s="47" t="inlineStr">
        <is>
          <t>Credential stuffing detection to be fully implemented in Phase 2.</t>
        </is>
      </c>
      <c r="H53" s="47" t="n"/>
    </row>
    <row r="54" ht="30" customHeight="1" s="28">
      <c r="A54" s="50" t="inlineStr">
        <is>
          <t>V6.8</t>
        </is>
      </c>
      <c r="B54" s="50" t="inlineStr">
        <is>
          <t>Authentication with an Identity Provider</t>
        </is>
      </c>
      <c r="C54" s="51" t="inlineStr">
        <is>
          <t>V6.8.2</t>
        </is>
      </c>
      <c r="D54" s="52" t="inlineStr">
        <is>
          <t>Verify that the presence and integrity of digital signatures on authentication assertions (for example on JWTs or SAML assertions) are always validated, rejecting any assertions that are unsigned or have invalid signatures.</t>
        </is>
      </c>
      <c r="E54" s="48" t="n">
        <v>2</v>
      </c>
      <c r="F54" s="49" t="inlineStr">
        <is>
          <t>Not Started</t>
        </is>
      </c>
      <c r="G54" s="52" t="inlineStr">
        <is>
          <t>Anomalous login detection to be evaluated in Phase 2.</t>
        </is>
      </c>
      <c r="H54" s="52" t="n"/>
    </row>
    <row r="55" ht="30" customHeight="1" s="28">
      <c r="A55" s="45" t="inlineStr">
        <is>
          <t>V6.8</t>
        </is>
      </c>
      <c r="B55" s="45" t="inlineStr">
        <is>
          <t>Authentication with an Identity Provider</t>
        </is>
      </c>
      <c r="C55" s="46" t="inlineStr">
        <is>
          <t>V6.8.3</t>
        </is>
      </c>
      <c r="D55" s="47" t="inlineStr">
        <is>
          <t>Verify that SAML assertions are uniquely processed and used only once within the validity period to prevent replay attacks.</t>
        </is>
      </c>
      <c r="E55" s="48" t="n">
        <v>2</v>
      </c>
      <c r="F55" s="49" t="inlineStr">
        <is>
          <t>Not Applicable</t>
        </is>
      </c>
      <c r="G55" s="47" t="inlineStr">
        <is>
          <t>No step-up authentication flow designed.</t>
        </is>
      </c>
      <c r="H55" s="47" t="n"/>
    </row>
    <row r="56" ht="30" customHeight="1" s="28">
      <c r="A56" s="50" t="inlineStr">
        <is>
          <t>V6.8</t>
        </is>
      </c>
      <c r="B56" s="50" t="inlineStr">
        <is>
          <t>Authentication with an Identity Provider</t>
        </is>
      </c>
      <c r="C56" s="51" t="inlineStr">
        <is>
          <t>V6.8.4</t>
        </is>
      </c>
      <c r="D56" s="52"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48" t="n">
        <v>2</v>
      </c>
      <c r="F56" s="49" t="inlineStr">
        <is>
          <t>Not Started</t>
        </is>
      </c>
      <c r="G56" s="52" t="inlineStr">
        <is>
          <t>Session binding to device/IP to be evaluated in Phase 2.</t>
        </is>
      </c>
      <c r="H56" s="52" t="n"/>
    </row>
  </sheetData>
  <conditionalFormatting sqref="F2:F5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5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V7.1</t>
        </is>
      </c>
      <c r="B2" s="44" t="inlineStr">
        <is>
          <t>Session Management Documentation</t>
        </is>
      </c>
      <c r="C2" s="44" t="n"/>
      <c r="D2" s="44" t="n"/>
      <c r="E2" s="44" t="n"/>
      <c r="F2" s="44" t="n"/>
      <c r="G2" s="44" t="n"/>
      <c r="H2" s="44" t="n"/>
    </row>
    <row r="3" ht="30" customHeight="1" s="28">
      <c r="A3" s="45" t="inlineStr">
        <is>
          <t>V7.1</t>
        </is>
      </c>
      <c r="B3" s="45" t="inlineStr">
        <is>
          <t>Session Management Documentation</t>
        </is>
      </c>
      <c r="C3" s="46" t="inlineStr">
        <is>
          <t>V7.1.1</t>
        </is>
      </c>
      <c r="D3" s="47"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48" t="n">
        <v>2</v>
      </c>
      <c r="F3" s="49" t="inlineStr">
        <is>
          <t>Compliant</t>
        </is>
      </c>
      <c r="G3" s="47" t="inlineStr">
        <is>
          <t>New JWT issued on each successful login; no session token reuse.</t>
        </is>
      </c>
      <c r="H3" s="47" t="inlineStr">
        <is>
          <t>src/main/resources/application.properties – Auth0 issues fresh JWT per login</t>
        </is>
      </c>
    </row>
    <row r="4" ht="30" customHeight="1" s="28">
      <c r="A4" s="50" t="inlineStr">
        <is>
          <t>V7.1</t>
        </is>
      </c>
      <c r="B4" s="50" t="inlineStr">
        <is>
          <t>Session Management Documentation</t>
        </is>
      </c>
      <c r="C4" s="51" t="inlineStr">
        <is>
          <t>V7.1.2</t>
        </is>
      </c>
      <c r="D4" s="52" t="inlineStr">
        <is>
          <t>Verify that the documentation defines how many concurrent (parallel) sessions are allowed for one account as well as the intended behaviors and actions to be taken when the maximum number of active sessions is reached.</t>
        </is>
      </c>
      <c r="E4" s="48" t="n">
        <v>2</v>
      </c>
      <c r="F4" s="49" t="inlineStr">
        <is>
          <t>Not Started</t>
        </is>
      </c>
      <c r="G4" s="52" t="inlineStr">
        <is>
          <t>Server-side JWT blocklist required for logout/invalidation. To be implemented in Phase 2.</t>
        </is>
      </c>
      <c r="H4" s="52" t="n"/>
    </row>
    <row r="5" ht="30" customHeight="1" s="28">
      <c r="A5" s="45" t="inlineStr">
        <is>
          <t>V7.1</t>
        </is>
      </c>
      <c r="B5" s="45" t="inlineStr">
        <is>
          <t>Session Management Documentation</t>
        </is>
      </c>
      <c r="C5" s="46" t="inlineStr">
        <is>
          <t>V7.1.3</t>
        </is>
      </c>
      <c r="D5" s="47"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48" t="n">
        <v>2</v>
      </c>
      <c r="F5" s="49" t="inlineStr">
        <is>
          <t>Compliant</t>
        </is>
      </c>
      <c r="G5" s="47" t="inlineStr">
        <is>
          <t>JWT with RS256/HS256 provides at least 128 bits of entropy.</t>
        </is>
      </c>
      <c r="H5" s="47" t="inlineStr">
        <is>
          <t>src/main/resources/application.properties – RS256 (2048-bit) via Auth0</t>
        </is>
      </c>
    </row>
    <row r="6" ht="18" customHeight="1" s="28">
      <c r="A6" s="44" t="inlineStr">
        <is>
          <t>V7.2</t>
        </is>
      </c>
      <c r="B6" s="44" t="inlineStr">
        <is>
          <t>Fundamental Session Management Security</t>
        </is>
      </c>
      <c r="C6" s="44" t="n"/>
      <c r="D6" s="44" t="n"/>
      <c r="E6" s="44" t="n"/>
      <c r="F6" s="44" t="n"/>
      <c r="G6" s="44" t="n"/>
      <c r="H6" s="44" t="n"/>
    </row>
    <row r="7" ht="30" customHeight="1" s="28">
      <c r="A7" s="45" t="inlineStr">
        <is>
          <t>V7.2</t>
        </is>
      </c>
      <c r="B7" s="45" t="inlineStr">
        <is>
          <t>Fundamental Session Management Security</t>
        </is>
      </c>
      <c r="C7" s="46" t="inlineStr">
        <is>
          <t>V7.2.1</t>
        </is>
      </c>
      <c r="D7" s="47" t="inlineStr">
        <is>
          <t>Verify that the application performs all session token verification using a trusted, backend service.</t>
        </is>
      </c>
      <c r="E7" s="53" t="n">
        <v>1</v>
      </c>
      <c r="F7" s="49" t="inlineStr">
        <is>
          <t>Compliant</t>
        </is>
      </c>
      <c r="G7" s="47" t="inlineStr">
        <is>
          <t>JWT transmitted only in Authorization: Bearer header. Never in URL or query parameters.</t>
        </is>
      </c>
      <c r="H7" s="47" t="inlineStr">
        <is>
          <t>src/main/java/pt/isep/desofs/enderchest/controller/FileController.java – JWT in Authorization header only</t>
        </is>
      </c>
    </row>
    <row r="8" ht="30" customHeight="1" s="28">
      <c r="A8" s="50" t="inlineStr">
        <is>
          <t>V7.2</t>
        </is>
      </c>
      <c r="B8" s="50" t="inlineStr">
        <is>
          <t>Fundamental Session Management Security</t>
        </is>
      </c>
      <c r="C8" s="51" t="inlineStr">
        <is>
          <t>V7.2.2</t>
        </is>
      </c>
      <c r="D8" s="52" t="inlineStr">
        <is>
          <t>Verify that the application uses either self-contained or reference tokens that are dynamically generated for session management, i.e. not using static API secrets and keys.</t>
        </is>
      </c>
      <c r="E8" s="53" t="n">
        <v>1</v>
      </c>
      <c r="F8" s="49" t="inlineStr">
        <is>
          <t>Not Started</t>
        </is>
      </c>
      <c r="G8" s="52" t="inlineStr">
        <is>
          <t>Idle session timeout to be configured in Phase 2 (JWT short expiry + refresh token rotation).</t>
        </is>
      </c>
      <c r="H8" s="52" t="n"/>
    </row>
    <row r="9" ht="30" customHeight="1" s="28">
      <c r="A9" s="45" t="inlineStr">
        <is>
          <t>V7.2</t>
        </is>
      </c>
      <c r="B9" s="45" t="inlineStr">
        <is>
          <t>Fundamental Session Management Security</t>
        </is>
      </c>
      <c r="C9" s="46" t="inlineStr">
        <is>
          <t>V7.2.3</t>
        </is>
      </c>
      <c r="D9" s="47" t="inlineStr">
        <is>
          <t>Verify that if reference tokens are used to represent user sessions, they are unique and generated using a cryptographically secure pseudo-random number generator (CSPRNG) and possess at least 128 bits of entropy.</t>
        </is>
      </c>
      <c r="E9" s="53" t="n">
        <v>1</v>
      </c>
      <c r="F9" s="49" t="inlineStr">
        <is>
          <t>Not Started</t>
        </is>
      </c>
      <c r="G9" s="47" t="inlineStr">
        <is>
          <t>Absolute session timeout to be configured as part of JWT expiry policy in Phase 2.</t>
        </is>
      </c>
      <c r="H9" s="47" t="n"/>
    </row>
    <row r="10" ht="30" customHeight="1" s="28">
      <c r="A10" s="50" t="inlineStr">
        <is>
          <t>V7.2</t>
        </is>
      </c>
      <c r="B10" s="50" t="inlineStr">
        <is>
          <t>Fundamental Session Management Security</t>
        </is>
      </c>
      <c r="C10" s="51" t="inlineStr">
        <is>
          <t>V7.2.4</t>
        </is>
      </c>
      <c r="D10" s="52" t="inlineStr">
        <is>
          <t>Verify that the application generates a new session token on user authentication, including re-authentication, and terminates the current session token.</t>
        </is>
      </c>
      <c r="E10" s="53" t="n">
        <v>1</v>
      </c>
      <c r="F10" s="49" t="inlineStr">
        <is>
          <t>Not Started</t>
        </is>
      </c>
      <c r="G10" s="52" t="inlineStr">
        <is>
          <t>Concurrent session control to be implemented in Phase 2.</t>
        </is>
      </c>
      <c r="H10" s="52" t="n"/>
    </row>
    <row r="11" ht="18" customHeight="1" s="28">
      <c r="A11" s="44" t="inlineStr">
        <is>
          <t>V7.3</t>
        </is>
      </c>
      <c r="B11" s="44" t="inlineStr">
        <is>
          <t>Session Timeout</t>
        </is>
      </c>
      <c r="C11" s="44" t="n"/>
      <c r="D11" s="44" t="n"/>
      <c r="E11" s="44" t="n"/>
      <c r="F11" s="44" t="n"/>
      <c r="G11" s="44" t="n"/>
      <c r="H11" s="44" t="n"/>
    </row>
    <row r="12" ht="30" customHeight="1" s="28">
      <c r="A12" s="45" t="inlineStr">
        <is>
          <t>V7.3</t>
        </is>
      </c>
      <c r="B12" s="45" t="inlineStr">
        <is>
          <t>Session Timeout</t>
        </is>
      </c>
      <c r="C12" s="46" t="inlineStr">
        <is>
          <t>V7.3.1</t>
        </is>
      </c>
      <c r="D12" s="47" t="inlineStr">
        <is>
          <t>Verify that there is an inactivity timeout such that re-authentication is enforced according to risk analysis and documented security decisions.</t>
        </is>
      </c>
      <c r="E12" s="48" t="n">
        <v>2</v>
      </c>
      <c r="F12" s="49" t="inlineStr">
        <is>
          <t>Compliant</t>
        </is>
      </c>
      <c r="G12" s="47" t="inlineStr">
        <is>
          <t>JWT signed with RS256 or HS256. Server-side algorithm whitelist; alg:none explicitly rejected.</t>
        </is>
      </c>
      <c r="H12" s="47" t="inlineStr">
        <is>
          <t>src/main/java/pt/isep/desofs/enderchest/config/SecurityConfig.java – RS256 algorithm whitelist</t>
        </is>
      </c>
    </row>
    <row r="13" ht="30" customHeight="1" s="28">
      <c r="A13" s="50" t="inlineStr">
        <is>
          <t>V7.3</t>
        </is>
      </c>
      <c r="B13" s="50" t="inlineStr">
        <is>
          <t>Session Timeout</t>
        </is>
      </c>
      <c r="C13" s="51" t="inlineStr">
        <is>
          <t>V7.3.2</t>
        </is>
      </c>
      <c r="D13" s="52" t="inlineStr">
        <is>
          <t>Verify that there is an absolute maximum session lifetime such that re-authentication is enforced according to risk analysis and documented security decisions.</t>
        </is>
      </c>
      <c r="E13" s="48" t="n">
        <v>2</v>
      </c>
      <c r="F13" s="56" t="inlineStr">
        <is>
          <t>Compliant</t>
        </is>
      </c>
      <c r="G13" s="52" t="inlineStr">
        <is>
          <t>alg:none rejection to be verified in Phase 2 via integration test.</t>
        </is>
      </c>
      <c r="H13" s="52" t="inlineStr">
        <is>
          <t>src/main/java/pt/isep/desofs/enderchest/config/SecurityConfig.java – Spring Security oauth2ResourceServer rejects alg:none by default</t>
        </is>
      </c>
    </row>
    <row r="14" ht="18" customHeight="1" s="28">
      <c r="A14" s="44" t="inlineStr">
        <is>
          <t>V7.4</t>
        </is>
      </c>
      <c r="B14" s="44" t="inlineStr">
        <is>
          <t>Session Termination</t>
        </is>
      </c>
      <c r="C14" s="44" t="n"/>
      <c r="D14" s="44" t="n"/>
      <c r="E14" s="44" t="n"/>
      <c r="F14" s="44" t="n"/>
      <c r="G14" s="44" t="n"/>
      <c r="H14" s="44" t="n"/>
    </row>
    <row r="15" ht="30" customHeight="1" s="28">
      <c r="A15" s="45" t="inlineStr">
        <is>
          <t>V7.4</t>
        </is>
      </c>
      <c r="B15" s="45" t="inlineStr">
        <is>
          <t>Session Termination</t>
        </is>
      </c>
      <c r="C15" s="46" t="inlineStr">
        <is>
          <t>V7.4.1</t>
        </is>
      </c>
      <c r="D15" s="47"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53" t="n">
        <v>1</v>
      </c>
      <c r="F15" s="49" t="inlineStr">
        <is>
          <t>Compliant</t>
        </is>
      </c>
      <c r="G15" s="47" t="inlineStr">
        <is>
          <t>JWT contains userId, role, expiry (exp), issued-at (iat). Minimal claims only.</t>
        </is>
      </c>
      <c r="H15" s="47" t="inlineStr">
        <is>
          <t>src/main/resources/application.properties – JWT contains sub, roles, exp, iat</t>
        </is>
      </c>
    </row>
    <row r="16" ht="30" customHeight="1" s="28">
      <c r="A16" s="50" t="inlineStr">
        <is>
          <t>V7.4</t>
        </is>
      </c>
      <c r="B16" s="50" t="inlineStr">
        <is>
          <t>Session Termination</t>
        </is>
      </c>
      <c r="C16" s="51" t="inlineStr">
        <is>
          <t>V7.4.2</t>
        </is>
      </c>
      <c r="D16" s="52" t="inlineStr">
        <is>
          <t>Verify that the application terminates all active sessions when a user account is disabled or deleted (such as an employee leaving the company).</t>
        </is>
      </c>
      <c r="E16" s="53" t="n">
        <v>1</v>
      </c>
      <c r="F16" s="56" t="inlineStr">
        <is>
          <t>Compliant</t>
        </is>
      </c>
      <c r="G16" s="52" t="inlineStr">
        <is>
          <t>JWT audience (aud) and issuer (iss) validation to be verified in Phase 2.</t>
        </is>
      </c>
      <c r="H16" s="52" t="inlineStr">
        <is>
          <t>src/main/resources/application.properties – spring.security.oauth2.resourceserver.jwt.issuer-uri validates iss and aud</t>
        </is>
      </c>
    </row>
    <row r="17" ht="30" customHeight="1" s="28">
      <c r="A17" s="45" t="inlineStr">
        <is>
          <t>V7.4</t>
        </is>
      </c>
      <c r="B17" s="45" t="inlineStr">
        <is>
          <t>Session Termination</t>
        </is>
      </c>
      <c r="C17" s="46" t="inlineStr">
        <is>
          <t>V7.4.3</t>
        </is>
      </c>
      <c r="D17" s="47" t="inlineStr">
        <is>
          <t>Verify that the application gives the option to terminate all other active sessions after a successful change or removal of any authentication factor (including password change via reset or recovery and, if present, an MFA settings update).</t>
        </is>
      </c>
      <c r="E17" s="48" t="n">
        <v>2</v>
      </c>
      <c r="F17" s="49" t="inlineStr">
        <is>
          <t>Not Started</t>
        </is>
      </c>
      <c r="G17" s="47" t="inlineStr">
        <is>
          <t>JWT refresh token rotation to be implemented in Phase 2.</t>
        </is>
      </c>
      <c r="H17" s="47" t="n"/>
    </row>
    <row r="18" ht="30" customHeight="1" s="28">
      <c r="A18" s="50" t="inlineStr">
        <is>
          <t>V7.4</t>
        </is>
      </c>
      <c r="B18" s="50" t="inlineStr">
        <is>
          <t>Session Termination</t>
        </is>
      </c>
      <c r="C18" s="51" t="inlineStr">
        <is>
          <t>V7.4.4</t>
        </is>
      </c>
      <c r="D18" s="52" t="inlineStr">
        <is>
          <t>Verify that all pages that require authentication have easy and visible access to logout functionality.</t>
        </is>
      </c>
      <c r="E18" s="48" t="n">
        <v>2</v>
      </c>
      <c r="F18" s="49" t="inlineStr">
        <is>
          <t>Not Started</t>
        </is>
      </c>
      <c r="G18" s="52" t="inlineStr">
        <is>
          <t>JWT refresh token binding to be implemented in Phase 2.</t>
        </is>
      </c>
      <c r="H18" s="52" t="n"/>
    </row>
    <row r="19" ht="30" customHeight="1" s="28">
      <c r="A19" s="45" t="inlineStr">
        <is>
          <t>V7.4</t>
        </is>
      </c>
      <c r="B19" s="45" t="inlineStr">
        <is>
          <t>Session Termination</t>
        </is>
      </c>
      <c r="C19" s="46" t="inlineStr">
        <is>
          <t>V7.4.5</t>
        </is>
      </c>
      <c r="D19" s="47" t="inlineStr">
        <is>
          <t>Verify that application administrators are able to terminate active sessions for an individual user or for all users.</t>
        </is>
      </c>
      <c r="E19" s="48" t="n">
        <v>2</v>
      </c>
      <c r="F19" s="49" t="inlineStr">
        <is>
          <t>Not Started</t>
        </is>
      </c>
      <c r="G19" s="47" t="inlineStr">
        <is>
          <t>JWT revocation on compromise to be handled by blocklist in Phase 2.</t>
        </is>
      </c>
      <c r="H19" s="47" t="n"/>
    </row>
    <row r="20" ht="18" customHeight="1" s="28">
      <c r="A20" s="44" t="inlineStr">
        <is>
          <t>V7.5</t>
        </is>
      </c>
      <c r="B20" s="44" t="inlineStr">
        <is>
          <t>Defenses Against Session Abuse</t>
        </is>
      </c>
      <c r="C20" s="44" t="n"/>
      <c r="D20" s="44" t="n"/>
      <c r="E20" s="44" t="n"/>
      <c r="F20" s="44" t="n"/>
      <c r="G20" s="44" t="n"/>
      <c r="H20" s="44" t="n"/>
    </row>
    <row r="21" ht="30" customHeight="1" s="28">
      <c r="A21" s="45" t="inlineStr">
        <is>
          <t>V7.5</t>
        </is>
      </c>
      <c r="B21" s="45" t="inlineStr">
        <is>
          <t>Defenses Against Session Abuse</t>
        </is>
      </c>
      <c r="C21" s="46" t="inlineStr">
        <is>
          <t>V7.5.1</t>
        </is>
      </c>
      <c r="D21" s="47"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48" t="n">
        <v>2</v>
      </c>
      <c r="F21" s="49" t="inlineStr">
        <is>
          <t>Compliant</t>
        </is>
      </c>
      <c r="G21" s="47" t="inlineStr">
        <is>
          <t>JWT not exposed in URLs. Only in Authorization: Bearer header.</t>
        </is>
      </c>
      <c r="H21" s="47" t="inlineStr">
        <is>
          <t>src/main/java/pt/isep/desofs/enderchest/controller/FileController.java – jwt.getSubject() used, never URL</t>
        </is>
      </c>
    </row>
    <row r="22" ht="30" customHeight="1" s="28">
      <c r="A22" s="50" t="inlineStr">
        <is>
          <t>V7.5</t>
        </is>
      </c>
      <c r="B22" s="50" t="inlineStr">
        <is>
          <t>Defenses Against Session Abuse</t>
        </is>
      </c>
      <c r="C22" s="51" t="inlineStr">
        <is>
          <t>V7.5.2</t>
        </is>
      </c>
      <c r="D22" s="52" t="inlineStr">
        <is>
          <t>Verify that users are able to view and (having authenticated again with at least one factor) terminate any or all currently active sessions.</t>
        </is>
      </c>
      <c r="E22" s="48" t="n">
        <v>2</v>
      </c>
      <c r="F22" s="49" t="inlineStr">
        <is>
          <t>Compliant</t>
        </is>
      </c>
      <c r="G22" s="52" t="inlineStr">
        <is>
          <t>JWT not logged. Audit log schema excludes tokens; only userId and outcome logged.</t>
        </is>
      </c>
      <c r="H22" s="52" t="inlineStr">
        <is>
          <t>src/main/java/pt/isep/desofs/enderchest/config/GlobalSecurityExceptionHandler.java – tokens never logged</t>
        </is>
      </c>
    </row>
    <row r="23" ht="30" customHeight="1" s="28">
      <c r="A23" s="45" t="inlineStr">
        <is>
          <t>V7.5</t>
        </is>
      </c>
      <c r="B23" s="45" t="inlineStr">
        <is>
          <t>Defenses Against Session Abuse</t>
        </is>
      </c>
      <c r="C23" s="46" t="inlineStr">
        <is>
          <t>V7.5.3</t>
        </is>
      </c>
      <c r="D23" s="47" t="inlineStr">
        <is>
          <t>Verify that the application requires further authentication with at least one factor or secondary verification before performing highly sensitive transactions or operations.</t>
        </is>
      </c>
      <c r="E23" s="54" t="n">
        <v>3</v>
      </c>
      <c r="F23" s="49" t="inlineStr">
        <is>
          <t>Not Started</t>
        </is>
      </c>
      <c r="G23" s="47" t="inlineStr">
        <is>
          <t>JWT length and size limits to be verified in Phase 2.</t>
        </is>
      </c>
      <c r="H23" s="47" t="n"/>
    </row>
    <row r="24" ht="18" customHeight="1" s="28">
      <c r="A24" s="44" t="inlineStr">
        <is>
          <t>V7.6</t>
        </is>
      </c>
      <c r="B24" s="44" t="inlineStr">
        <is>
          <t>Federated Re-authentication</t>
        </is>
      </c>
      <c r="C24" s="44" t="n"/>
      <c r="D24" s="44" t="n"/>
      <c r="E24" s="44" t="n"/>
      <c r="F24" s="44" t="n"/>
      <c r="G24" s="44" t="n"/>
      <c r="H24" s="44" t="n"/>
    </row>
    <row r="25" ht="30" customHeight="1" s="28">
      <c r="A25" s="45" t="inlineStr">
        <is>
          <t>V7.6</t>
        </is>
      </c>
      <c r="B25" s="45" t="inlineStr">
        <is>
          <t>Federated Re-authentication</t>
        </is>
      </c>
      <c r="C25" s="46" t="inlineStr">
        <is>
          <t>V7.6.1</t>
        </is>
      </c>
      <c r="D25" s="47" t="inlineStr">
        <is>
          <t>Verify that session lifetime and termination between Relying Parties (RPs) and Identity Providers (IdPs) behave as documented, requiring re-authentication as necessary such as when the maximum time between IdP authentication events is reached.</t>
        </is>
      </c>
      <c r="E25" s="48" t="n">
        <v>2</v>
      </c>
      <c r="F25" s="49" t="inlineStr">
        <is>
          <t>Not Started</t>
        </is>
      </c>
      <c r="G25" s="47" t="inlineStr">
        <is>
          <t>Re-authentication for sensitive operations to be evaluated in Phase 2.</t>
        </is>
      </c>
      <c r="H25" s="47" t="n"/>
    </row>
    <row r="26" ht="30" customHeight="1" s="28">
      <c r="A26" s="50" t="inlineStr">
        <is>
          <t>V7.6</t>
        </is>
      </c>
      <c r="B26" s="50" t="inlineStr">
        <is>
          <t>Federated Re-authentication</t>
        </is>
      </c>
      <c r="C26" s="51" t="inlineStr">
        <is>
          <t>V7.6.2</t>
        </is>
      </c>
      <c r="D26" s="52" t="inlineStr">
        <is>
          <t>Verify that creation of a session requires either the user's consent or an explicit action, preventing the creation of new application sessions without user interaction.</t>
        </is>
      </c>
      <c r="E26" s="48" t="n">
        <v>2</v>
      </c>
      <c r="F26" s="49" t="inlineStr">
        <is>
          <t>Not Applicable</t>
        </is>
      </c>
      <c r="G26" s="52" t="inlineStr">
        <is>
          <t>No step-up authentication designed.</t>
        </is>
      </c>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H18"/>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V8.1</t>
        </is>
      </c>
      <c r="B2" s="44" t="inlineStr">
        <is>
          <t>Authorization Documentation</t>
        </is>
      </c>
      <c r="C2" s="44" t="n"/>
      <c r="D2" s="44" t="n"/>
      <c r="E2" s="44" t="n"/>
      <c r="F2" s="44" t="n"/>
      <c r="G2" s="44" t="n"/>
      <c r="H2" s="44" t="n"/>
    </row>
    <row r="3" ht="30" customHeight="1" s="28">
      <c r="A3" s="45" t="inlineStr">
        <is>
          <t>V8.1</t>
        </is>
      </c>
      <c r="B3" s="45" t="inlineStr">
        <is>
          <t>Authorization Documentation</t>
        </is>
      </c>
      <c r="C3" s="46" t="inlineStr">
        <is>
          <t>V8.1.1</t>
        </is>
      </c>
      <c r="D3" s="47" t="inlineStr">
        <is>
          <t>Verify that authorization documentation defines rules for restricting function-level and data-specific access based on consumer permissions and resource attributes.</t>
        </is>
      </c>
      <c r="E3" s="53" t="n">
        <v>1</v>
      </c>
      <c r="F3" s="49" t="inlineStr">
        <is>
          <t>Compliant</t>
        </is>
      </c>
      <c r="G3" s="47" t="inlineStr">
        <is>
          <t>AccessShare aggregate checked server-side before every operation. Default deny: no AccessShare -&gt; HTTP 403.</t>
        </is>
      </c>
      <c r="H3" s="47" t="inlineStr">
        <is>
          <t>src/main/java/pt/isep/desofs/enderchest/controller/FileController.java (hasReadAccess/hasOwnerAccess)
src/main/java/pt/isep/desofs/enderchest/entity/AccessShare.java</t>
        </is>
      </c>
    </row>
    <row r="4" ht="30" customHeight="1" s="28">
      <c r="A4" s="50" t="inlineStr">
        <is>
          <t>V8.1</t>
        </is>
      </c>
      <c r="B4" s="50" t="inlineStr">
        <is>
          <t>Authorization Documentation</t>
        </is>
      </c>
      <c r="C4" s="51" t="inlineStr">
        <is>
          <t>V8.1.2</t>
        </is>
      </c>
      <c r="D4" s="52"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48" t="n">
        <v>2</v>
      </c>
      <c r="F4" s="49" t="inlineStr">
        <is>
          <t>Compliant</t>
        </is>
      </c>
      <c r="G4" s="52" t="inlineStr">
        <is>
          <t>Default deny enforced. If no AccessShare record exists for caller and resourceId, access is denied.</t>
        </is>
      </c>
      <c r="H4" s="52" t="inlineStr">
        <is>
          <t>src/main/java/pt/isep/desofs/enderchest/controller/FileController.java – default deny if no AccessShare</t>
        </is>
      </c>
    </row>
    <row r="5" ht="30" customHeight="1" s="28">
      <c r="A5" s="45" t="inlineStr">
        <is>
          <t>V8.1</t>
        </is>
      </c>
      <c r="B5" s="45" t="inlineStr">
        <is>
          <t>Authorization Documentation</t>
        </is>
      </c>
      <c r="C5" s="46" t="inlineStr">
        <is>
          <t>V8.1.3</t>
        </is>
      </c>
      <c r="D5" s="47"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54" t="n">
        <v>3</v>
      </c>
      <c r="F5" s="49" t="inlineStr">
        <is>
          <t>Not Started</t>
        </is>
      </c>
      <c r="G5" s="47" t="inlineStr">
        <is>
          <t>Least-privilege review for service accounts to be performed in Phase 2.</t>
        </is>
      </c>
      <c r="H5" s="47" t="n"/>
    </row>
    <row r="6" ht="30" customHeight="1" s="28">
      <c r="A6" s="50" t="inlineStr">
        <is>
          <t>V8.1</t>
        </is>
      </c>
      <c r="B6" s="50" t="inlineStr">
        <is>
          <t>Authorization Documentation</t>
        </is>
      </c>
      <c r="C6" s="51" t="inlineStr">
        <is>
          <t>V8.1.4</t>
        </is>
      </c>
      <c r="D6" s="52"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54" t="n">
        <v>3</v>
      </c>
      <c r="F6" s="56" t="inlineStr">
        <is>
          <t>Compliant</t>
        </is>
      </c>
      <c r="G6" s="52" t="inlineStr">
        <is>
          <t>Authorization bypass testing to be performed in Phase 2.</t>
        </is>
      </c>
      <c r="H6" s="52" t="inlineStr">
        <is>
          <t>src/test/java/pt/isep/desofs/enderchest/controller/FileAccessControlIT.java
src/test/java/pt/isep/desofs/enderchest/controller/FileControllerAuthTest.java</t>
        </is>
      </c>
    </row>
    <row r="7" ht="18" customHeight="1" s="28">
      <c r="A7" s="44" t="inlineStr">
        <is>
          <t>V8.2</t>
        </is>
      </c>
      <c r="B7" s="44" t="inlineStr">
        <is>
          <t>General Authorization Design</t>
        </is>
      </c>
      <c r="C7" s="44" t="n"/>
      <c r="D7" s="44" t="n"/>
      <c r="E7" s="44" t="n"/>
      <c r="F7" s="44" t="n"/>
      <c r="G7" s="44" t="n"/>
      <c r="H7" s="44" t="n"/>
    </row>
    <row r="8" ht="30" customHeight="1" s="28">
      <c r="A8" s="45" t="inlineStr">
        <is>
          <t>V8.2</t>
        </is>
      </c>
      <c r="B8" s="45" t="inlineStr">
        <is>
          <t>General Authorization Design</t>
        </is>
      </c>
      <c r="C8" s="46" t="inlineStr">
        <is>
          <t>V8.2.1</t>
        </is>
      </c>
      <c r="D8" s="47" t="inlineStr">
        <is>
          <t>Verify that the application ensures that function-level access is restricted to consumers with explicit permissions.</t>
        </is>
      </c>
      <c r="E8" s="53" t="n">
        <v>1</v>
      </c>
      <c r="F8" s="49" t="inlineStr">
        <is>
          <t>Compliant</t>
        </is>
      </c>
      <c r="G8" s="47" t="inlineStr">
        <is>
          <t>IDOR prevented: AccessShare check per resourceId on every API call. Authentication alone is insufficient.</t>
        </is>
      </c>
      <c r="H8" s="47" t="inlineStr">
        <is>
          <t>src/main/java/pt/isep/desofs/enderchest/controller/FileController.java (hasReadAccess/hasOwnerAccess)
src/test/java/pt/isep/desofs/enderchest/controller/FileAccessControlIT.java</t>
        </is>
      </c>
    </row>
    <row r="9" ht="30" customHeight="1" s="28">
      <c r="A9" s="50" t="inlineStr">
        <is>
          <t>V8.2</t>
        </is>
      </c>
      <c r="B9" s="50" t="inlineStr">
        <is>
          <t>General Authorization Design</t>
        </is>
      </c>
      <c r="C9" s="51" t="inlineStr">
        <is>
          <t>V8.2.2</t>
        </is>
      </c>
      <c r="D9" s="52" t="inlineStr">
        <is>
          <t>Verify that the application ensures that data-specific access is restricted to consumers with explicit permissions to specific data items to mitigate insecure direct object reference (IDOR) and broken object level authorization (BOLA).</t>
        </is>
      </c>
      <c r="E9" s="53" t="n">
        <v>1</v>
      </c>
      <c r="F9" s="49" t="inlineStr">
        <is>
          <t>Compliant</t>
        </is>
      </c>
      <c r="G9" s="52" t="inlineStr">
        <is>
          <t>RBAC matrix enforced: DELETE=OWNER only, EDITOR=upload/download, VIEWER=download only.</t>
        </is>
      </c>
      <c r="H9" s="52" t="inlineStr">
        <is>
          <t>src/main/java/pt/isep/desofs/enderchest/controller/FileController.java – @PreAuthorize per endpoint</t>
        </is>
      </c>
    </row>
    <row r="10" ht="30" customHeight="1" s="28">
      <c r="A10" s="45" t="inlineStr">
        <is>
          <t>V8.2</t>
        </is>
      </c>
      <c r="B10" s="45" t="inlineStr">
        <is>
          <t>General Authorization Design</t>
        </is>
      </c>
      <c r="C10" s="46" t="inlineStr">
        <is>
          <t>V8.2.3</t>
        </is>
      </c>
      <c r="D10" s="47" t="inlineStr">
        <is>
          <t>Verify that the application ensures that field-level access is restricted to consumers with explicit permissions to specific fields to mitigate broken object property level authorization (BOPLA).</t>
        </is>
      </c>
      <c r="E10" s="48" t="n">
        <v>2</v>
      </c>
      <c r="F10" s="56" t="inlineStr">
        <is>
          <t>Compliant</t>
        </is>
      </c>
      <c r="G10" s="47" t="inlineStr">
        <is>
          <t>Horizontal privilege escalation testing to be performed in Phase 2.</t>
        </is>
      </c>
      <c r="H10" s="47" t="inlineStr">
        <is>
          <t>src/test/java/pt/isep/desofs/enderchest/controller/FileAccessControlIT.java – ST-02 IDOR tests (User B cannot access User A files)</t>
        </is>
      </c>
    </row>
    <row r="11" ht="30" customHeight="1" s="28">
      <c r="A11" s="50" t="inlineStr">
        <is>
          <t>V8.2</t>
        </is>
      </c>
      <c r="B11" s="50" t="inlineStr">
        <is>
          <t>General Authorization Design</t>
        </is>
      </c>
      <c r="C11" s="51" t="inlineStr">
        <is>
          <t>V8.2.4</t>
        </is>
      </c>
      <c r="D11" s="52"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54" t="n">
        <v>3</v>
      </c>
      <c r="F11" s="56" t="inlineStr">
        <is>
          <t>Compliant</t>
        </is>
      </c>
      <c r="G11" s="52" t="inlineStr">
        <is>
          <t>Vertical privilege escalation testing to be performed in Phase 2.</t>
        </is>
      </c>
      <c r="H11" s="52" t="inlineStr">
        <is>
          <t>src/test/java/pt/isep/desofs/enderchest/controller/FileControllerAuthTest.java – ST-07 tests (EDITOR gets 403 on ADMIN endpoint)</t>
        </is>
      </c>
    </row>
    <row r="12" ht="18" customHeight="1" s="28">
      <c r="A12" s="44" t="inlineStr">
        <is>
          <t>V8.3</t>
        </is>
      </c>
      <c r="B12" s="44" t="inlineStr">
        <is>
          <t>Operation Level Authorization</t>
        </is>
      </c>
      <c r="C12" s="44" t="n"/>
      <c r="D12" s="44" t="n"/>
      <c r="E12" s="44" t="n"/>
      <c r="F12" s="44" t="n"/>
      <c r="G12" s="44" t="n"/>
      <c r="H12" s="44" t="n"/>
    </row>
    <row r="13" ht="30" customHeight="1" s="28">
      <c r="A13" s="45" t="inlineStr">
        <is>
          <t>V8.3</t>
        </is>
      </c>
      <c r="B13" s="45" t="inlineStr">
        <is>
          <t>Operation Level Authorization</t>
        </is>
      </c>
      <c r="C13" s="46" t="inlineStr">
        <is>
          <t>V8.3.1</t>
        </is>
      </c>
      <c r="D13" s="47" t="inlineStr">
        <is>
          <t>Verify that the application enforces authorization rules at a trusted service layer and doesn't rely on controls that an untrusted consumer could manipulate, such as client-side JavaScript.</t>
        </is>
      </c>
      <c r="E13" s="53" t="n">
        <v>1</v>
      </c>
      <c r="F13" s="49" t="inlineStr">
        <is>
          <t>Compliant</t>
        </is>
      </c>
      <c r="G13" s="47" t="inlineStr">
        <is>
          <t>Admin endpoints require JWT with explicit Admin role. Spring Boot Actuator restricted to internal network only.</t>
        </is>
      </c>
      <c r="H13" s="47" t="inlineStr">
        <is>
          <t>src/main/java/pt/isep/desofs/enderchest/controller/FileController.java – GET /admin/health requires ROLE_ADMIN</t>
        </is>
      </c>
    </row>
    <row r="14" ht="30" customHeight="1" s="28">
      <c r="A14" s="50" t="inlineStr">
        <is>
          <t>V8.3</t>
        </is>
      </c>
      <c r="B14" s="50" t="inlineStr">
        <is>
          <t>Operation Level Authorization</t>
        </is>
      </c>
      <c r="C14" s="51" t="inlineStr">
        <is>
          <t>V8.3.2</t>
        </is>
      </c>
      <c r="D14" s="52"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54" t="n">
        <v>3</v>
      </c>
      <c r="F14" s="49" t="inlineStr">
        <is>
          <t>Compliant</t>
        </is>
      </c>
      <c r="G14" s="52" t="inlineStr">
        <is>
          <t>Directory browsing disabled. Files proxied through API with AccessShare enforcement.</t>
        </is>
      </c>
      <c r="H14" s="52" t="inlineStr">
        <is>
          <t>src/main/java/pt/isep/desofs/enderchest/service/FileStorageService.java</t>
        </is>
      </c>
    </row>
    <row r="15" ht="30" customHeight="1" s="28">
      <c r="A15" s="45" t="inlineStr">
        <is>
          <t>V8.3</t>
        </is>
      </c>
      <c r="B15" s="45" t="inlineStr">
        <is>
          <t>Operation Level Authorization</t>
        </is>
      </c>
      <c r="C15" s="46" t="inlineStr">
        <is>
          <t>V8.3.3</t>
        </is>
      </c>
      <c r="D15" s="47"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54" t="n">
        <v>3</v>
      </c>
      <c r="F15" s="49" t="inlineStr">
        <is>
          <t>Not Started</t>
        </is>
      </c>
      <c r="G15" s="47" t="inlineStr">
        <is>
          <t>Admin interface MFA to be evaluated in Phase 2.</t>
        </is>
      </c>
      <c r="H15" s="47" t="n"/>
    </row>
    <row r="16" ht="18" customHeight="1" s="28">
      <c r="A16" s="44" t="inlineStr">
        <is>
          <t>V8.4</t>
        </is>
      </c>
      <c r="B16" s="44" t="inlineStr">
        <is>
          <t>Other Authorization Considerations</t>
        </is>
      </c>
      <c r="C16" s="44" t="n"/>
      <c r="D16" s="44" t="n"/>
      <c r="E16" s="44" t="n"/>
      <c r="F16" s="44" t="n"/>
      <c r="G16" s="44" t="n"/>
      <c r="H16" s="44" t="n"/>
    </row>
    <row r="17" ht="30" customHeight="1" s="28">
      <c r="A17" s="45" t="inlineStr">
        <is>
          <t>V8.4</t>
        </is>
      </c>
      <c r="B17" s="45" t="inlineStr">
        <is>
          <t>Other Authorization Considerations</t>
        </is>
      </c>
      <c r="C17" s="46" t="inlineStr">
        <is>
          <t>V8.4.1</t>
        </is>
      </c>
      <c r="D17" s="47" t="inlineStr">
        <is>
          <t>Verify that multi-tenant applications use cross-tenant controls to ensure consumer operations will never affect tenants with which they do not have permissions to interact.</t>
        </is>
      </c>
      <c r="E17" s="48" t="n">
        <v>2</v>
      </c>
      <c r="F17" s="49" t="inlineStr">
        <is>
          <t>Compliant</t>
        </is>
      </c>
      <c r="G17" s="47" t="inlineStr">
        <is>
          <t>All resourceId values are UUID v4 (non-predictable). Not sequential integers.</t>
        </is>
      </c>
      <c r="H17" s="47" t="inlineStr">
        <is>
          <t>src/main/java/pt/isep/desofs/enderchest/entity/File.java – @GeneratedValue UUID strategy</t>
        </is>
      </c>
    </row>
    <row r="18" ht="30" customHeight="1" s="28">
      <c r="A18" s="50" t="inlineStr">
        <is>
          <t>V8.4</t>
        </is>
      </c>
      <c r="B18" s="50" t="inlineStr">
        <is>
          <t>Other Authorization Considerations</t>
        </is>
      </c>
      <c r="C18" s="51" t="inlineStr">
        <is>
          <t>V8.4.2</t>
        </is>
      </c>
      <c r="D18" s="52"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54" t="n">
        <v>3</v>
      </c>
      <c r="F18" s="56" t="inlineStr">
        <is>
          <t>Compliant</t>
        </is>
      </c>
      <c r="G18" s="52" t="inlineStr">
        <is>
          <t>UUID v4 implementation to be verified in Phase 2.</t>
        </is>
      </c>
      <c r="H18" s="52" t="inlineStr">
        <is>
          <t>src/main/java/pt/isep/desofs/enderchest/entity/File.java – UUID v4 generated by JPA @GeneratedValue</t>
        </is>
      </c>
    </row>
  </sheetData>
  <conditionalFormatting sqref="F2:F18">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8"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H10"/>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V9.1</t>
        </is>
      </c>
      <c r="B2" s="44" t="inlineStr">
        <is>
          <t>Token source and integrity</t>
        </is>
      </c>
      <c r="C2" s="44" t="n"/>
      <c r="D2" s="44" t="n"/>
      <c r="E2" s="44" t="n"/>
      <c r="F2" s="44" t="n"/>
      <c r="G2" s="44" t="n"/>
      <c r="H2" s="44" t="n"/>
    </row>
    <row r="3" ht="30" customHeight="1" s="28">
      <c r="A3" s="45" t="inlineStr">
        <is>
          <t>V9.1</t>
        </is>
      </c>
      <c r="B3" s="45" t="inlineStr">
        <is>
          <t>Token source and integrity</t>
        </is>
      </c>
      <c r="C3" s="46" t="inlineStr">
        <is>
          <t>V9.1.1</t>
        </is>
      </c>
      <c r="D3" s="47" t="inlineStr">
        <is>
          <t>Verify that self-contained tokens are validated using their digital signature or MAC to protect against tampering before accepting the token's contents.</t>
        </is>
      </c>
      <c r="E3" s="53" t="n">
        <v>1</v>
      </c>
      <c r="F3" s="49" t="inlineStr">
        <is>
          <t>Compliant</t>
        </is>
      </c>
      <c r="G3" s="47" t="inlineStr">
        <is>
          <t>JWT signing key stored in environment variable / secrets vault. Never hardcoded in source.</t>
        </is>
      </c>
      <c r="H3" s="47" t="inlineStr">
        <is>
          <t>src/main/resources/application.properties – Auth0 secret via environment variable</t>
        </is>
      </c>
    </row>
    <row r="4" ht="30" customHeight="1" s="28">
      <c r="A4" s="50" t="inlineStr">
        <is>
          <t>V9.1</t>
        </is>
      </c>
      <c r="B4" s="50" t="inlineStr">
        <is>
          <t>Token source and integrity</t>
        </is>
      </c>
      <c r="C4" s="51" t="inlineStr">
        <is>
          <t>V9.1.2</t>
        </is>
      </c>
      <c r="D4" s="52"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53" t="n">
        <v>1</v>
      </c>
      <c r="F4" s="49" t="inlineStr">
        <is>
          <t>Compliant</t>
        </is>
      </c>
      <c r="G4" s="52" t="inlineStr">
        <is>
          <t>JWT signed with RS256 or HS256. Server-side algorithm whitelist enforced. alg:none explicitly rejected.</t>
        </is>
      </c>
      <c r="H4" s="52" t="inlineStr">
        <is>
          <t>src/main/java/pt/isep/desofs/enderchest/config/SecurityConfig.java – jwtAuthenticationConverter with RS256 whitelist</t>
        </is>
      </c>
    </row>
    <row r="5" ht="30" customHeight="1" s="28">
      <c r="A5" s="45" t="inlineStr">
        <is>
          <t>V9.1</t>
        </is>
      </c>
      <c r="B5" s="45" t="inlineStr">
        <is>
          <t>Token source and integrity</t>
        </is>
      </c>
      <c r="C5" s="46" t="inlineStr">
        <is>
          <t>V9.1.3</t>
        </is>
      </c>
      <c r="D5" s="47"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53" t="n">
        <v>1</v>
      </c>
      <c r="F5" s="56" t="inlineStr">
        <is>
          <t>Compliant</t>
        </is>
      </c>
      <c r="G5" s="47" t="inlineStr">
        <is>
          <t>JWT signing key rotation procedure to be defined and implemented in Phase 2.</t>
        </is>
      </c>
      <c r="H5" s="47" t="inlineStr">
        <is>
          <t>src/main/resources/application.properties – Auth0 JWKS endpoint enables automatic key rotation</t>
        </is>
      </c>
    </row>
    <row r="6" ht="18" customHeight="1" s="28">
      <c r="A6" s="44" t="inlineStr">
        <is>
          <t>V9.2</t>
        </is>
      </c>
      <c r="B6" s="44" t="inlineStr">
        <is>
          <t>Token content</t>
        </is>
      </c>
      <c r="C6" s="44" t="n"/>
      <c r="D6" s="44" t="n"/>
      <c r="E6" s="44" t="n"/>
      <c r="F6" s="44" t="n"/>
      <c r="G6" s="44" t="n"/>
      <c r="H6" s="44" t="n"/>
    </row>
    <row r="7" ht="30" customHeight="1" s="28">
      <c r="A7" s="45" t="inlineStr">
        <is>
          <t>V9.2</t>
        </is>
      </c>
      <c r="B7" s="45" t="inlineStr">
        <is>
          <t>Token content</t>
        </is>
      </c>
      <c r="C7" s="46" t="inlineStr">
        <is>
          <t>V9.2.1</t>
        </is>
      </c>
      <c r="D7" s="47" t="inlineStr">
        <is>
          <t>Verify that, if a validity time span is present in the token data, the token and its content are accepted only if the verification time is within this validity time span. For example, for JWTs, the claims 'nbf' and 'exp' must be verified.</t>
        </is>
      </c>
      <c r="E7" s="53" t="n">
        <v>1</v>
      </c>
      <c r="F7" s="49" t="inlineStr">
        <is>
          <t>Compliant</t>
        </is>
      </c>
      <c r="G7" s="47" t="inlineStr">
        <is>
          <t>JWT claims validated: exp, iat, sub (userId), role. Invalid/expired tokens rejected with HTTP 401.</t>
        </is>
      </c>
      <c r="H7" s="47" t="inlineStr">
        <is>
          <t>src/main/java/pt/isep/desofs/enderchest/config/SecurityConfig.java – Spring Security validates exp, iat, sub</t>
        </is>
      </c>
    </row>
    <row r="8" ht="30" customHeight="1" s="28">
      <c r="A8" s="50" t="inlineStr">
        <is>
          <t>V9.2</t>
        </is>
      </c>
      <c r="B8" s="50" t="inlineStr">
        <is>
          <t>Token content</t>
        </is>
      </c>
      <c r="C8" s="51" t="inlineStr">
        <is>
          <t>V9.2.2</t>
        </is>
      </c>
      <c r="D8" s="52"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48" t="n">
        <v>2</v>
      </c>
      <c r="F8" s="56" t="inlineStr">
        <is>
          <t>Compliant</t>
        </is>
      </c>
      <c r="G8" s="52" t="inlineStr">
        <is>
          <t>JWT audience (aud) and issuer (iss) validation to be enforced in Phase 2.</t>
        </is>
      </c>
      <c r="H8" s="52" t="inlineStr">
        <is>
          <t>src/main/resources/application.properties – spring.security.oauth2.resourceserver.jwt.issuer-uri enforces iss validation</t>
        </is>
      </c>
    </row>
    <row r="9" ht="30" customHeight="1" s="28">
      <c r="A9" s="45" t="inlineStr">
        <is>
          <t>V9.2</t>
        </is>
      </c>
      <c r="B9" s="45" t="inlineStr">
        <is>
          <t>Token content</t>
        </is>
      </c>
      <c r="C9" s="46" t="inlineStr">
        <is>
          <t>V9.2.3</t>
        </is>
      </c>
      <c r="D9" s="47" t="inlineStr">
        <is>
          <t>Verify that the service only accepts tokens which are intended for use with that service (audience). For JWTs, this can be achieved by validating the 'aud' claim against an allowlist defined in the service.</t>
        </is>
      </c>
      <c r="E9" s="48" t="n">
        <v>2</v>
      </c>
      <c r="F9" s="56" t="inlineStr">
        <is>
          <t>Compliant</t>
        </is>
      </c>
      <c r="G9" s="47" t="inlineStr">
        <is>
          <t>JWT expiry design in progress: short-lived access token + refresh token rotation defined architecturally; implementation in Phase 2.</t>
        </is>
      </c>
      <c r="H9" s="47" t="inlineStr">
        <is>
          <t>src/main/resources/application.properties – Auth0 short-lived access tokens; refresh token rotation enabled in Auth0 dashboard</t>
        </is>
      </c>
    </row>
    <row r="10" ht="30" customHeight="1" s="28">
      <c r="A10" s="50" t="inlineStr">
        <is>
          <t>V9.2</t>
        </is>
      </c>
      <c r="B10" s="50" t="inlineStr">
        <is>
          <t>Token content</t>
        </is>
      </c>
      <c r="C10" s="51" t="inlineStr">
        <is>
          <t>V9.2.4</t>
        </is>
      </c>
      <c r="D10" s="52"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48" t="n">
        <v>2</v>
      </c>
      <c r="F10" s="49" t="inlineStr">
        <is>
          <t>Not Started</t>
        </is>
      </c>
      <c r="G10" s="52" t="inlineStr">
        <is>
          <t>JWT JWKS endpoint / public key distribution to be designed in Phase 2 if RS256 used.</t>
        </is>
      </c>
      <c r="H10" s="52" t="n"/>
    </row>
  </sheetData>
  <conditionalFormatting sqref="F2:F10">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0"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H44"/>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V10.1</t>
        </is>
      </c>
      <c r="B2" s="44" t="inlineStr">
        <is>
          <t>Generic OAuth and OIDC Security</t>
        </is>
      </c>
      <c r="C2" s="44" t="n"/>
      <c r="D2" s="44" t="n"/>
      <c r="E2" s="44" t="n"/>
      <c r="F2" s="44" t="n"/>
      <c r="G2" s="44" t="n"/>
      <c r="H2" s="44" t="n"/>
    </row>
    <row r="3" ht="30" customHeight="1" s="28">
      <c r="A3" s="45" t="inlineStr">
        <is>
          <t>V10.1</t>
        </is>
      </c>
      <c r="B3" s="45" t="inlineStr">
        <is>
          <t>Generic OAuth and OIDC Security</t>
        </is>
      </c>
      <c r="C3" s="46" t="inlineStr">
        <is>
          <t>V10.1.1</t>
        </is>
      </c>
      <c r="D3" s="47" t="inlineStr">
        <is>
          <t>Verify that tokens are only sent to components that strictly need them. For example, when using a backend-for-frontend pattern for browser-based JavaScript applications, access and refresh tokens shall only be accessible for the backend.</t>
        </is>
      </c>
      <c r="E3" s="48" t="n">
        <v>2</v>
      </c>
      <c r="F3" s="49" t="inlineStr">
        <is>
          <t>Not Applicable</t>
        </is>
      </c>
      <c r="G3" s="47" t="inlineStr">
        <is>
          <t>No OAuth 2.0 or OpenID Connect used. System uses direct JWT issuance.</t>
        </is>
      </c>
      <c r="H3" s="47" t="n"/>
    </row>
    <row r="4" ht="30" customHeight="1" s="28">
      <c r="A4" s="50" t="inlineStr">
        <is>
          <t>V10.1</t>
        </is>
      </c>
      <c r="B4" s="50" t="inlineStr">
        <is>
          <t>Generic OAuth and OIDC Security</t>
        </is>
      </c>
      <c r="C4" s="51" t="inlineStr">
        <is>
          <t>V10.1.2</t>
        </is>
      </c>
      <c r="D4" s="52"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48" t="n">
        <v>2</v>
      </c>
      <c r="F4" s="49" t="inlineStr">
        <is>
          <t>Not Applicable</t>
        </is>
      </c>
      <c r="G4" s="52" t="inlineStr">
        <is>
          <t>No OAuth 2.0 or OpenID Connect used.</t>
        </is>
      </c>
      <c r="H4" s="52" t="n"/>
    </row>
    <row r="5" ht="18" customHeight="1" s="28">
      <c r="A5" s="44" t="inlineStr">
        <is>
          <t>V10.2</t>
        </is>
      </c>
      <c r="B5" s="44" t="inlineStr">
        <is>
          <t>OAuth Client</t>
        </is>
      </c>
      <c r="C5" s="44" t="n"/>
      <c r="D5" s="44" t="n"/>
      <c r="E5" s="44" t="n"/>
      <c r="F5" s="44" t="n"/>
      <c r="G5" s="44" t="n"/>
      <c r="H5" s="44" t="n"/>
    </row>
    <row r="6" ht="30" customHeight="1" s="28">
      <c r="A6" s="45" t="inlineStr">
        <is>
          <t>V10.2</t>
        </is>
      </c>
      <c r="B6" s="45" t="inlineStr">
        <is>
          <t>OAuth Client</t>
        </is>
      </c>
      <c r="C6" s="46" t="inlineStr">
        <is>
          <t>V10.2.1</t>
        </is>
      </c>
      <c r="D6" s="47"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48" t="n">
        <v>2</v>
      </c>
      <c r="F6" s="49" t="inlineStr">
        <is>
          <t>Not Applicable</t>
        </is>
      </c>
      <c r="G6" s="47" t="inlineStr">
        <is>
          <t>No OAuth 2.0 or OpenID Connect used.</t>
        </is>
      </c>
      <c r="H6" s="47" t="n"/>
    </row>
    <row r="7" ht="30" customHeight="1" s="28">
      <c r="A7" s="50" t="inlineStr">
        <is>
          <t>V10.2</t>
        </is>
      </c>
      <c r="B7" s="50" t="inlineStr">
        <is>
          <t>OAuth Client</t>
        </is>
      </c>
      <c r="C7" s="51" t="inlineStr">
        <is>
          <t>V10.2.2</t>
        </is>
      </c>
      <c r="D7" s="52"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48" t="n">
        <v>2</v>
      </c>
      <c r="F7" s="49" t="inlineStr">
        <is>
          <t>Not Applicable</t>
        </is>
      </c>
      <c r="G7" s="52" t="inlineStr">
        <is>
          <t>No OAuth 2.0 or OpenID Connect used.</t>
        </is>
      </c>
      <c r="H7" s="52" t="n"/>
    </row>
    <row r="8" ht="30" customHeight="1" s="28">
      <c r="A8" s="45" t="inlineStr">
        <is>
          <t>V10.2</t>
        </is>
      </c>
      <c r="B8" s="45" t="inlineStr">
        <is>
          <t>OAuth Client</t>
        </is>
      </c>
      <c r="C8" s="46" t="inlineStr">
        <is>
          <t>V10.2.3</t>
        </is>
      </c>
      <c r="D8" s="47" t="inlineStr">
        <is>
          <t>Verify that the OAuth client only requests the required scopes (or other authorization parameters) in requests to the authorization server.</t>
        </is>
      </c>
      <c r="E8" s="54" t="n">
        <v>3</v>
      </c>
      <c r="F8" s="49" t="inlineStr">
        <is>
          <t>Not Applicable</t>
        </is>
      </c>
      <c r="G8" s="47" t="inlineStr">
        <is>
          <t>No OAuth 2.0 or OpenID Connect used.</t>
        </is>
      </c>
      <c r="H8" s="47" t="n"/>
    </row>
    <row r="9" ht="18" customHeight="1" s="28">
      <c r="A9" s="44" t="inlineStr">
        <is>
          <t>V10.3</t>
        </is>
      </c>
      <c r="B9" s="44" t="inlineStr">
        <is>
          <t>OAuth Resource Server</t>
        </is>
      </c>
      <c r="C9" s="44" t="n"/>
      <c r="D9" s="44" t="n"/>
      <c r="E9" s="44" t="n"/>
      <c r="F9" s="44" t="n"/>
      <c r="G9" s="44" t="n"/>
      <c r="H9" s="44" t="n"/>
    </row>
    <row r="10" ht="30" customHeight="1" s="28">
      <c r="A10" s="45" t="inlineStr">
        <is>
          <t>V10.3</t>
        </is>
      </c>
      <c r="B10" s="45" t="inlineStr">
        <is>
          <t>OAuth Resource Server</t>
        </is>
      </c>
      <c r="C10" s="46" t="inlineStr">
        <is>
          <t>V10.3.1</t>
        </is>
      </c>
      <c r="D10" s="47"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48" t="n">
        <v>2</v>
      </c>
      <c r="F10" s="49" t="inlineStr">
        <is>
          <t>Not Applicable</t>
        </is>
      </c>
      <c r="G10" s="47" t="inlineStr">
        <is>
          <t>No OAuth 2.0 or OpenID Connect used.</t>
        </is>
      </c>
      <c r="H10" s="47" t="n"/>
    </row>
    <row r="11" ht="30" customHeight="1" s="28">
      <c r="A11" s="50" t="inlineStr">
        <is>
          <t>V10.3</t>
        </is>
      </c>
      <c r="B11" s="50" t="inlineStr">
        <is>
          <t>OAuth Resource Server</t>
        </is>
      </c>
      <c r="C11" s="51" t="inlineStr">
        <is>
          <t>V10.3.2</t>
        </is>
      </c>
      <c r="D11" s="52" t="inlineStr">
        <is>
          <t>Verify that the resource server enforces authorization decisions based on claims from the access token that define delegated authorization. If claims such as 'sub', 'scope', and 'authorization_details' are present, they must be part of the decision.</t>
        </is>
      </c>
      <c r="E11" s="48" t="n">
        <v>2</v>
      </c>
      <c r="F11" s="49" t="inlineStr">
        <is>
          <t>Not Applicable</t>
        </is>
      </c>
      <c r="G11" s="52" t="inlineStr">
        <is>
          <t>No OAuth 2.0 or OpenID Connect used.</t>
        </is>
      </c>
      <c r="H11" s="52" t="n"/>
    </row>
    <row r="12" ht="30" customHeight="1" s="28">
      <c r="A12" s="45" t="inlineStr">
        <is>
          <t>V10.3</t>
        </is>
      </c>
      <c r="B12" s="45" t="inlineStr">
        <is>
          <t>OAuth Resource Server</t>
        </is>
      </c>
      <c r="C12" s="46" t="inlineStr">
        <is>
          <t>V10.3.3</t>
        </is>
      </c>
      <c r="D12" s="47"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48" t="n">
        <v>2</v>
      </c>
      <c r="F12" s="49" t="inlineStr">
        <is>
          <t>Not Applicable</t>
        </is>
      </c>
      <c r="G12" s="47" t="inlineStr">
        <is>
          <t>No OAuth 2.0 or OpenID Connect used.</t>
        </is>
      </c>
      <c r="H12" s="47" t="n"/>
    </row>
    <row r="13" ht="30" customHeight="1" s="28">
      <c r="A13" s="50" t="inlineStr">
        <is>
          <t>V10.3</t>
        </is>
      </c>
      <c r="B13" s="50" t="inlineStr">
        <is>
          <t>OAuth Resource Server</t>
        </is>
      </c>
      <c r="C13" s="51" t="inlineStr">
        <is>
          <t>V10.3.4</t>
        </is>
      </c>
      <c r="D13" s="52"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48" t="n">
        <v>2</v>
      </c>
      <c r="F13" s="49" t="inlineStr">
        <is>
          <t>Not Applicable</t>
        </is>
      </c>
      <c r="G13" s="52" t="inlineStr">
        <is>
          <t>No OAuth 2.0 or OpenID Connect used.</t>
        </is>
      </c>
      <c r="H13" s="52" t="n"/>
    </row>
    <row r="14" ht="30" customHeight="1" s="28">
      <c r="A14" s="45" t="inlineStr">
        <is>
          <t>V10.3</t>
        </is>
      </c>
      <c r="B14" s="45" t="inlineStr">
        <is>
          <t>OAuth Resource Server</t>
        </is>
      </c>
      <c r="C14" s="46" t="inlineStr">
        <is>
          <t>V10.3.5</t>
        </is>
      </c>
      <c r="D14" s="47"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54" t="n">
        <v>3</v>
      </c>
      <c r="F14" s="49" t="inlineStr">
        <is>
          <t>Not Applicable</t>
        </is>
      </c>
      <c r="G14" s="47" t="inlineStr">
        <is>
          <t>No OAuth 2.0 or OpenID Connect used.</t>
        </is>
      </c>
      <c r="H14" s="47" t="n"/>
    </row>
    <row r="15" ht="18" customHeight="1" s="28">
      <c r="A15" s="44" t="inlineStr">
        <is>
          <t>V10.4</t>
        </is>
      </c>
      <c r="B15" s="44" t="inlineStr">
        <is>
          <t>OAuth Authorization Server</t>
        </is>
      </c>
      <c r="C15" s="44" t="n"/>
      <c r="D15" s="44" t="n"/>
      <c r="E15" s="44" t="n"/>
      <c r="F15" s="44" t="n"/>
      <c r="G15" s="44" t="n"/>
      <c r="H15" s="44" t="n"/>
    </row>
    <row r="16" ht="30" customHeight="1" s="28">
      <c r="A16" s="45" t="inlineStr">
        <is>
          <t>V10.4</t>
        </is>
      </c>
      <c r="B16" s="45" t="inlineStr">
        <is>
          <t>OAuth Authorization Server</t>
        </is>
      </c>
      <c r="C16" s="46" t="inlineStr">
        <is>
          <t>V10.4.1</t>
        </is>
      </c>
      <c r="D16" s="47" t="inlineStr">
        <is>
          <t>Verify that the authorization server validates redirect URIs based on a client-specific allowlist of pre-registered URIs using exact string comparison.</t>
        </is>
      </c>
      <c r="E16" s="53" t="n">
        <v>1</v>
      </c>
      <c r="F16" s="49" t="inlineStr">
        <is>
          <t>Not Applicable</t>
        </is>
      </c>
      <c r="G16" s="47" t="inlineStr">
        <is>
          <t>No OAuth 2.0 or OpenID Connect used.</t>
        </is>
      </c>
      <c r="H16" s="47" t="n"/>
    </row>
    <row r="17" ht="30" customHeight="1" s="28">
      <c r="A17" s="50" t="inlineStr">
        <is>
          <t>V10.4</t>
        </is>
      </c>
      <c r="B17" s="50" t="inlineStr">
        <is>
          <t>OAuth Authorization Server</t>
        </is>
      </c>
      <c r="C17" s="51" t="inlineStr">
        <is>
          <t>V10.4.2</t>
        </is>
      </c>
      <c r="D17" s="52"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53" t="n">
        <v>1</v>
      </c>
      <c r="F17" s="49" t="inlineStr">
        <is>
          <t>Not Applicable</t>
        </is>
      </c>
      <c r="G17" s="52" t="inlineStr">
        <is>
          <t>No OAuth 2.0 or OpenID Connect used.</t>
        </is>
      </c>
      <c r="H17" s="52" t="n"/>
    </row>
    <row r="18" ht="30" customHeight="1" s="28">
      <c r="A18" s="45" t="inlineStr">
        <is>
          <t>V10.4</t>
        </is>
      </c>
      <c r="B18" s="45" t="inlineStr">
        <is>
          <t>OAuth Authorization Server</t>
        </is>
      </c>
      <c r="C18" s="46" t="inlineStr">
        <is>
          <t>V10.4.3</t>
        </is>
      </c>
      <c r="D18" s="47" t="inlineStr">
        <is>
          <t>Verify that the authorization code is short-lived. The maximum lifetime can be up to 10 minutes for L1 and L2 applications and up to 1 minute for L3 applications.</t>
        </is>
      </c>
      <c r="E18" s="53" t="n">
        <v>1</v>
      </c>
      <c r="F18" s="49" t="inlineStr">
        <is>
          <t>Not Applicable</t>
        </is>
      </c>
      <c r="G18" s="47" t="inlineStr">
        <is>
          <t>No OAuth 2.0 or OpenID Connect used.</t>
        </is>
      </c>
      <c r="H18" s="47" t="n"/>
    </row>
    <row r="19" ht="30" customHeight="1" s="28">
      <c r="A19" s="50" t="inlineStr">
        <is>
          <t>V10.4</t>
        </is>
      </c>
      <c r="B19" s="50" t="inlineStr">
        <is>
          <t>OAuth Authorization Server</t>
        </is>
      </c>
      <c r="C19" s="51" t="inlineStr">
        <is>
          <t>V10.4.4</t>
        </is>
      </c>
      <c r="D19" s="52" t="inlineStr">
        <is>
          <t>Verify that for a given client, the authorization server only allows the usage of grants that this client needs to use. Note that the grants 'token' (Implicit flow) and 'password' (Resource Owner Password Credentials flow) must no longer be used.</t>
        </is>
      </c>
      <c r="E19" s="53" t="n">
        <v>1</v>
      </c>
      <c r="F19" s="49" t="inlineStr">
        <is>
          <t>Not Applicable</t>
        </is>
      </c>
      <c r="G19" s="52" t="inlineStr">
        <is>
          <t>No OAuth 2.0 or OpenID Connect used.</t>
        </is>
      </c>
      <c r="H19" s="52" t="n"/>
    </row>
    <row r="20" ht="30" customHeight="1" s="28">
      <c r="A20" s="45" t="inlineStr">
        <is>
          <t>V10.4</t>
        </is>
      </c>
      <c r="B20" s="45" t="inlineStr">
        <is>
          <t>OAuth Authorization Server</t>
        </is>
      </c>
      <c r="C20" s="46" t="inlineStr">
        <is>
          <t>V10.4.5</t>
        </is>
      </c>
      <c r="D20" s="47"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53" t="n">
        <v>1</v>
      </c>
      <c r="F20" s="49" t="inlineStr">
        <is>
          <t>Not Applicable</t>
        </is>
      </c>
      <c r="G20" s="47" t="inlineStr">
        <is>
          <t>No OAuth 2.0 or OpenID Connect used.</t>
        </is>
      </c>
      <c r="H20" s="47" t="n"/>
    </row>
    <row r="21" ht="30" customHeight="1" s="28">
      <c r="A21" s="50" t="inlineStr">
        <is>
          <t>V10.4</t>
        </is>
      </c>
      <c r="B21" s="50" t="inlineStr">
        <is>
          <t>OAuth Authorization Server</t>
        </is>
      </c>
      <c r="C21" s="51" t="inlineStr">
        <is>
          <t>V10.4.6</t>
        </is>
      </c>
      <c r="D21" s="52"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48" t="n">
        <v>2</v>
      </c>
      <c r="F21" s="49" t="inlineStr">
        <is>
          <t>Not Applicable</t>
        </is>
      </c>
      <c r="G21" s="52" t="inlineStr">
        <is>
          <t>No OAuth 2.0 or OpenID Connect used.</t>
        </is>
      </c>
      <c r="H21" s="52" t="n"/>
    </row>
    <row r="22" ht="30" customHeight="1" s="28">
      <c r="A22" s="45" t="inlineStr">
        <is>
          <t>V10.4</t>
        </is>
      </c>
      <c r="B22" s="45" t="inlineStr">
        <is>
          <t>OAuth Authorization Server</t>
        </is>
      </c>
      <c r="C22" s="46" t="inlineStr">
        <is>
          <t>V10.4.7</t>
        </is>
      </c>
      <c r="D22" s="47"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48" t="n">
        <v>2</v>
      </c>
      <c r="F22" s="49" t="inlineStr">
        <is>
          <t>Not Applicable</t>
        </is>
      </c>
      <c r="G22" s="47" t="inlineStr">
        <is>
          <t>No OAuth 2.0 or OpenID Connect used.</t>
        </is>
      </c>
      <c r="H22" s="47" t="n"/>
    </row>
    <row r="23" ht="30" customHeight="1" s="28">
      <c r="A23" s="50" t="inlineStr">
        <is>
          <t>V10.4</t>
        </is>
      </c>
      <c r="B23" s="50" t="inlineStr">
        <is>
          <t>OAuth Authorization Server</t>
        </is>
      </c>
      <c r="C23" s="51" t="inlineStr">
        <is>
          <t>V10.4.8</t>
        </is>
      </c>
      <c r="D23" s="52" t="inlineStr">
        <is>
          <t>Verify that refresh tokens have an absolute expiration, including if sliding refresh token expiration is applied.</t>
        </is>
      </c>
      <c r="E23" s="48" t="n">
        <v>2</v>
      </c>
      <c r="F23" s="49" t="inlineStr">
        <is>
          <t>Not Applicable</t>
        </is>
      </c>
      <c r="G23" s="52" t="inlineStr">
        <is>
          <t>No OAuth 2.0 or OpenID Connect used.</t>
        </is>
      </c>
      <c r="H23" s="52" t="n"/>
    </row>
    <row r="24" ht="30" customHeight="1" s="28">
      <c r="A24" s="45" t="inlineStr">
        <is>
          <t>V10.4</t>
        </is>
      </c>
      <c r="B24" s="45" t="inlineStr">
        <is>
          <t>OAuth Authorization Server</t>
        </is>
      </c>
      <c r="C24" s="46" t="inlineStr">
        <is>
          <t>V10.4.9</t>
        </is>
      </c>
      <c r="D24" s="47" t="inlineStr">
        <is>
          <t>Verify that refresh tokens and reference access tokens can be revoked by an authorized user using the authorization server user interface, to mitigate the risk of malicious clients or stolen tokens.</t>
        </is>
      </c>
      <c r="E24" s="48" t="n">
        <v>2</v>
      </c>
      <c r="F24" s="49" t="inlineStr">
        <is>
          <t>Not Applicable</t>
        </is>
      </c>
      <c r="G24" s="47" t="inlineStr">
        <is>
          <t>No OAuth 2.0 or OpenID Connect used.</t>
        </is>
      </c>
      <c r="H24" s="47" t="n"/>
    </row>
    <row r="25" ht="30" customHeight="1" s="28">
      <c r="A25" s="50" t="inlineStr">
        <is>
          <t>V10.4</t>
        </is>
      </c>
      <c r="B25" s="50" t="inlineStr">
        <is>
          <t>OAuth Authorization Server</t>
        </is>
      </c>
      <c r="C25" s="51" t="inlineStr">
        <is>
          <t>V10.4.10</t>
        </is>
      </c>
      <c r="D25" s="52" t="inlineStr">
        <is>
          <t>Verify that confidential client is authenticated for client-to-authorized server backchannel requests such as token requests, pushed authorization requests (PAR), and token revocation requests.</t>
        </is>
      </c>
      <c r="E25" s="48" t="n">
        <v>2</v>
      </c>
      <c r="F25" s="49" t="inlineStr">
        <is>
          <t>Not Applicable</t>
        </is>
      </c>
      <c r="G25" s="52" t="inlineStr">
        <is>
          <t>No OAuth 2.0 or OpenID Connect used.</t>
        </is>
      </c>
      <c r="H25" s="52" t="n"/>
    </row>
    <row r="26" ht="30" customHeight="1" s="28">
      <c r="A26" s="45" t="inlineStr">
        <is>
          <t>V10.4</t>
        </is>
      </c>
      <c r="B26" s="45" t="inlineStr">
        <is>
          <t>OAuth Authorization Server</t>
        </is>
      </c>
      <c r="C26" s="46" t="inlineStr">
        <is>
          <t>V10.4.11</t>
        </is>
      </c>
      <c r="D26" s="47" t="inlineStr">
        <is>
          <t>Verify that the authorization server configuration only assigns the required scopes to the OAuth client.</t>
        </is>
      </c>
      <c r="E26" s="48" t="n">
        <v>2</v>
      </c>
      <c r="F26" s="49" t="inlineStr">
        <is>
          <t>Not Applicable</t>
        </is>
      </c>
      <c r="G26" s="47" t="inlineStr">
        <is>
          <t>No OAuth 2.0 or OpenID Connect used.</t>
        </is>
      </c>
      <c r="H26" s="47" t="n"/>
    </row>
    <row r="27" ht="30" customHeight="1" s="28">
      <c r="A27" s="50" t="inlineStr">
        <is>
          <t>V10.4</t>
        </is>
      </c>
      <c r="B27" s="50" t="inlineStr">
        <is>
          <t>OAuth Authorization Server</t>
        </is>
      </c>
      <c r="C27" s="51" t="inlineStr">
        <is>
          <t>V10.4.12</t>
        </is>
      </c>
      <c r="D27" s="52"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54" t="n">
        <v>3</v>
      </c>
      <c r="F27" s="49" t="inlineStr">
        <is>
          <t>Not Applicable</t>
        </is>
      </c>
      <c r="G27" s="52" t="inlineStr">
        <is>
          <t>No OAuth 2.0 or OpenID Connect used.</t>
        </is>
      </c>
      <c r="H27" s="52" t="n"/>
    </row>
    <row r="28" ht="30" customHeight="1" s="28">
      <c r="A28" s="45" t="inlineStr">
        <is>
          <t>V10.4</t>
        </is>
      </c>
      <c r="B28" s="45" t="inlineStr">
        <is>
          <t>OAuth Authorization Server</t>
        </is>
      </c>
      <c r="C28" s="46" t="inlineStr">
        <is>
          <t>V10.4.13</t>
        </is>
      </c>
      <c r="D28" s="47" t="inlineStr">
        <is>
          <t>Verify that grant type 'code' is always used together with pushed authorization requests (PAR).</t>
        </is>
      </c>
      <c r="E28" s="54" t="n">
        <v>3</v>
      </c>
      <c r="F28" s="49" t="inlineStr">
        <is>
          <t>Not Applicable</t>
        </is>
      </c>
      <c r="G28" s="47" t="inlineStr">
        <is>
          <t>No OAuth 2.0 or OpenID Connect used.</t>
        </is>
      </c>
      <c r="H28" s="47" t="n"/>
    </row>
    <row r="29" ht="30" customHeight="1" s="28">
      <c r="A29" s="50" t="inlineStr">
        <is>
          <t>V10.4</t>
        </is>
      </c>
      <c r="B29" s="50" t="inlineStr">
        <is>
          <t>OAuth Authorization Server</t>
        </is>
      </c>
      <c r="C29" s="51" t="inlineStr">
        <is>
          <t>V10.4.14</t>
        </is>
      </c>
      <c r="D29" s="52" t="inlineStr">
        <is>
          <t>Verify that the authorization server issues only sender-constrained (Proof-of-Possession) access tokens, either with certificate-bound access tokens using mutual TLS (mTLS) or DPoP-bound access tokens (Demonstration of Proof of Possession).</t>
        </is>
      </c>
      <c r="E29" s="54" t="n">
        <v>3</v>
      </c>
      <c r="F29" s="49" t="inlineStr">
        <is>
          <t>Not Applicable</t>
        </is>
      </c>
      <c r="G29" s="52" t="inlineStr">
        <is>
          <t>No OAuth 2.0 or OpenID Connect used.</t>
        </is>
      </c>
      <c r="H29" s="52" t="n"/>
    </row>
    <row r="30" ht="30" customHeight="1" s="28">
      <c r="A30" s="45" t="inlineStr">
        <is>
          <t>V10.4</t>
        </is>
      </c>
      <c r="B30" s="45" t="inlineStr">
        <is>
          <t>OAuth Authorization Server</t>
        </is>
      </c>
      <c r="C30" s="46" t="inlineStr">
        <is>
          <t>V10.4.15</t>
        </is>
      </c>
      <c r="D30" s="47"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54" t="n">
        <v>3</v>
      </c>
      <c r="F30" s="49" t="inlineStr">
        <is>
          <t>Not Applicable</t>
        </is>
      </c>
      <c r="G30" s="47" t="inlineStr">
        <is>
          <t>No OAuth 2.0 or OpenID Connect used.</t>
        </is>
      </c>
      <c r="H30" s="47" t="n"/>
    </row>
    <row r="31" ht="30" customHeight="1" s="28">
      <c r="A31" s="50" t="inlineStr">
        <is>
          <t>V10.4</t>
        </is>
      </c>
      <c r="B31" s="50" t="inlineStr">
        <is>
          <t>OAuth Authorization Server</t>
        </is>
      </c>
      <c r="C31" s="51" t="inlineStr">
        <is>
          <t>V10.4.16</t>
        </is>
      </c>
      <c r="D31" s="52"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54" t="n">
        <v>3</v>
      </c>
      <c r="F31" s="49" t="inlineStr">
        <is>
          <t>Not Applicable</t>
        </is>
      </c>
      <c r="G31" s="52" t="inlineStr">
        <is>
          <t>No OAuth 2.0 or OpenID Connect used.</t>
        </is>
      </c>
      <c r="H31" s="52" t="n"/>
    </row>
    <row r="32" ht="18" customHeight="1" s="28">
      <c r="A32" s="44" t="inlineStr">
        <is>
          <t>V10.5</t>
        </is>
      </c>
      <c r="B32" s="44" t="inlineStr">
        <is>
          <t>OIDC Client</t>
        </is>
      </c>
      <c r="C32" s="44" t="n"/>
      <c r="D32" s="44" t="n"/>
      <c r="E32" s="44" t="n"/>
      <c r="F32" s="44" t="n"/>
      <c r="G32" s="44" t="n"/>
      <c r="H32" s="44" t="n"/>
    </row>
    <row r="33" ht="30" customHeight="1" s="28">
      <c r="A33" s="45" t="inlineStr">
        <is>
          <t>V10.5</t>
        </is>
      </c>
      <c r="B33" s="45" t="inlineStr">
        <is>
          <t>OIDC Client</t>
        </is>
      </c>
      <c r="C33" s="46" t="inlineStr">
        <is>
          <t>V10.5.1</t>
        </is>
      </c>
      <c r="D33" s="47"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48" t="n">
        <v>2</v>
      </c>
      <c r="F33" s="49" t="inlineStr">
        <is>
          <t>Not Applicable</t>
        </is>
      </c>
      <c r="G33" s="47" t="inlineStr">
        <is>
          <t>No OAuth 2.0 or OpenID Connect used.</t>
        </is>
      </c>
      <c r="H33" s="47" t="n"/>
    </row>
    <row r="34" ht="30" customHeight="1" s="28">
      <c r="A34" s="50" t="inlineStr">
        <is>
          <t>V10.5</t>
        </is>
      </c>
      <c r="B34" s="50" t="inlineStr">
        <is>
          <t>OIDC Client</t>
        </is>
      </c>
      <c r="C34" s="51" t="inlineStr">
        <is>
          <t>V10.5.2</t>
        </is>
      </c>
      <c r="D34" s="52" t="inlineStr">
        <is>
          <t>Verify that the client uniquely identifies the user from ID Token claims, usually the 'sub' claim, which cannot be reassigned to other users (for the scope of an identity provider).</t>
        </is>
      </c>
      <c r="E34" s="48" t="n">
        <v>2</v>
      </c>
      <c r="F34" s="49" t="inlineStr">
        <is>
          <t>Not Applicable</t>
        </is>
      </c>
      <c r="G34" s="52" t="inlineStr">
        <is>
          <t>No OAuth 2.0 or OpenID Connect used.</t>
        </is>
      </c>
      <c r="H34" s="52" t="n"/>
    </row>
    <row r="35" ht="30" customHeight="1" s="28">
      <c r="A35" s="45" t="inlineStr">
        <is>
          <t>V10.5</t>
        </is>
      </c>
      <c r="B35" s="45" t="inlineStr">
        <is>
          <t>OIDC Client</t>
        </is>
      </c>
      <c r="C35" s="46" t="inlineStr">
        <is>
          <t>V10.5.3</t>
        </is>
      </c>
      <c r="D35" s="47"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48" t="n">
        <v>2</v>
      </c>
      <c r="F35" s="49" t="inlineStr">
        <is>
          <t>Not Applicable</t>
        </is>
      </c>
      <c r="G35" s="47" t="inlineStr">
        <is>
          <t>No OAuth 2.0 or OpenID Connect used.</t>
        </is>
      </c>
      <c r="H35" s="47" t="n"/>
    </row>
    <row r="36" ht="30" customHeight="1" s="28">
      <c r="A36" s="50" t="inlineStr">
        <is>
          <t>V10.5</t>
        </is>
      </c>
      <c r="B36" s="50" t="inlineStr">
        <is>
          <t>OIDC Client</t>
        </is>
      </c>
      <c r="C36" s="51" t="inlineStr">
        <is>
          <t>V10.5.4</t>
        </is>
      </c>
      <c r="D36" s="52" t="inlineStr">
        <is>
          <t>Verify that the client validates that the ID Token is intended to be used for that client (audience) by checking that the 'aud' claim from the token is equal to the 'client_id' value for the client.</t>
        </is>
      </c>
      <c r="E36" s="48" t="n">
        <v>2</v>
      </c>
      <c r="F36" s="49" t="inlineStr">
        <is>
          <t>Not Applicable</t>
        </is>
      </c>
      <c r="G36" s="52" t="inlineStr">
        <is>
          <t>No OAuth 2.0 or OpenID Connect used.</t>
        </is>
      </c>
      <c r="H36" s="52" t="n"/>
    </row>
    <row r="37" ht="30" customHeight="1" s="28">
      <c r="A37" s="45" t="inlineStr">
        <is>
          <t>V10.5</t>
        </is>
      </c>
      <c r="B37" s="45" t="inlineStr">
        <is>
          <t>OIDC Client</t>
        </is>
      </c>
      <c r="C37" s="46" t="inlineStr">
        <is>
          <t>V10.5.5</t>
        </is>
      </c>
      <c r="D37" s="47"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48" t="n">
        <v>2</v>
      </c>
      <c r="F37" s="49" t="inlineStr">
        <is>
          <t>Not Applicable</t>
        </is>
      </c>
      <c r="G37" s="47" t="inlineStr">
        <is>
          <t>No OAuth 2.0 or OpenID Connect used.</t>
        </is>
      </c>
      <c r="H37" s="47" t="n"/>
    </row>
    <row r="38" ht="18" customHeight="1" s="28">
      <c r="A38" s="44" t="inlineStr">
        <is>
          <t>V10.6</t>
        </is>
      </c>
      <c r="B38" s="44" t="inlineStr">
        <is>
          <t>OpenID Provider</t>
        </is>
      </c>
      <c r="C38" s="44" t="n"/>
      <c r="D38" s="44" t="n"/>
      <c r="E38" s="44" t="n"/>
      <c r="F38" s="44" t="n"/>
      <c r="G38" s="44" t="n"/>
      <c r="H38" s="44" t="n"/>
    </row>
    <row r="39" ht="30" customHeight="1" s="28">
      <c r="A39" s="45" t="inlineStr">
        <is>
          <t>V10.6</t>
        </is>
      </c>
      <c r="B39" s="45" t="inlineStr">
        <is>
          <t>OpenID Provider</t>
        </is>
      </c>
      <c r="C39" s="46" t="inlineStr">
        <is>
          <t>V10.6.1</t>
        </is>
      </c>
      <c r="D39" s="47" t="inlineStr">
        <is>
          <t>Verify that the OpenID Provider only allows values 'code', 'ciba', 'id_token', or 'id_token code' for response mode. Note that 'code' is preferred over 'id_token code' (the OIDC Hybrid flow), and 'token' (any Implicit flow) must not be used.</t>
        </is>
      </c>
      <c r="E39" s="48" t="n">
        <v>2</v>
      </c>
      <c r="F39" s="49" t="inlineStr">
        <is>
          <t>Not Applicable</t>
        </is>
      </c>
      <c r="G39" s="47" t="inlineStr">
        <is>
          <t>No OAuth 2.0 or OpenID Connect used.</t>
        </is>
      </c>
      <c r="H39" s="47" t="n"/>
    </row>
    <row r="40" ht="30" customHeight="1" s="28">
      <c r="A40" s="50" t="inlineStr">
        <is>
          <t>V10.6</t>
        </is>
      </c>
      <c r="B40" s="50" t="inlineStr">
        <is>
          <t>OpenID Provider</t>
        </is>
      </c>
      <c r="C40" s="51" t="inlineStr">
        <is>
          <t>V10.6.2</t>
        </is>
      </c>
      <c r="D40" s="52" t="inlineStr">
        <is>
          <t>Verify that the OpenID Provider mitigates denial of service through forced logout. By obtaining explicit confirmation from the end-user or, if present, validating parameters in the logout request (initiated by the relying party), such as the 'id_token_hint'.</t>
        </is>
      </c>
      <c r="E40" s="48" t="n">
        <v>2</v>
      </c>
      <c r="F40" s="49" t="inlineStr">
        <is>
          <t>Not Applicable</t>
        </is>
      </c>
      <c r="G40" s="52" t="inlineStr">
        <is>
          <t>No OAuth 2.0 or OpenID Connect used.</t>
        </is>
      </c>
      <c r="H40" s="52" t="n"/>
    </row>
    <row r="41" ht="18" customHeight="1" s="28">
      <c r="A41" s="44" t="inlineStr">
        <is>
          <t>V10.7</t>
        </is>
      </c>
      <c r="B41" s="44" t="inlineStr">
        <is>
          <t>Consent Management</t>
        </is>
      </c>
      <c r="C41" s="44" t="n"/>
      <c r="D41" s="44" t="n"/>
      <c r="E41" s="44" t="n"/>
      <c r="F41" s="44" t="n"/>
      <c r="G41" s="44" t="n"/>
      <c r="H41" s="44" t="n"/>
    </row>
    <row r="42" ht="30" customHeight="1" s="28">
      <c r="A42" s="45" t="inlineStr">
        <is>
          <t>V10.7</t>
        </is>
      </c>
      <c r="B42" s="45" t="inlineStr">
        <is>
          <t>Consent Management</t>
        </is>
      </c>
      <c r="C42" s="46" t="inlineStr">
        <is>
          <t>V10.7.1</t>
        </is>
      </c>
      <c r="D42" s="47" t="inlineStr">
        <is>
          <t>Verify that the authorization server ensures that the user consents to each authorization request. If the identity of the client cannot be assured, the authorization server must always explicitly prompt the user for consent.</t>
        </is>
      </c>
      <c r="E42" s="48" t="n">
        <v>2</v>
      </c>
      <c r="F42" s="49" t="inlineStr">
        <is>
          <t>Not Applicable</t>
        </is>
      </c>
      <c r="G42" s="47" t="inlineStr">
        <is>
          <t>No OAuth 2.0 or OpenID Connect used.</t>
        </is>
      </c>
      <c r="H42" s="47" t="n"/>
    </row>
    <row r="43" ht="30" customHeight="1" s="28">
      <c r="A43" s="50" t="inlineStr">
        <is>
          <t>V10.7</t>
        </is>
      </c>
      <c r="B43" s="50" t="inlineStr">
        <is>
          <t>Consent Management</t>
        </is>
      </c>
      <c r="C43" s="51" t="inlineStr">
        <is>
          <t>V10.7.2</t>
        </is>
      </c>
      <c r="D43" s="52"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48" t="n">
        <v>2</v>
      </c>
      <c r="F43" s="49" t="inlineStr">
        <is>
          <t>Not Applicable</t>
        </is>
      </c>
      <c r="G43" s="52" t="inlineStr">
        <is>
          <t>No OAuth 2.0 or OpenID Connect used.</t>
        </is>
      </c>
      <c r="H43" s="52" t="n"/>
    </row>
    <row r="44" ht="30" customHeight="1" s="28">
      <c r="A44" s="45" t="inlineStr">
        <is>
          <t>V10.7</t>
        </is>
      </c>
      <c r="B44" s="45" t="inlineStr">
        <is>
          <t>Consent Management</t>
        </is>
      </c>
      <c r="C44" s="46" t="inlineStr">
        <is>
          <t>V10.7.3</t>
        </is>
      </c>
      <c r="D44" s="47" t="inlineStr">
        <is>
          <t>Verify that the user can review, modify, and revoke consents which the user has granted through the authorization server.</t>
        </is>
      </c>
      <c r="E44" s="48" t="n">
        <v>2</v>
      </c>
      <c r="F44" s="49" t="inlineStr">
        <is>
          <t>Not Applicable</t>
        </is>
      </c>
      <c r="G44" s="47" t="inlineStr">
        <is>
          <t>No OAuth 2.0 or OpenID Connect used.</t>
        </is>
      </c>
      <c r="H44" s="47" t="n"/>
    </row>
  </sheetData>
  <conditionalFormatting sqref="F2:F44">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44"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H32"/>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V11.1</t>
        </is>
      </c>
      <c r="B2" s="44" t="inlineStr">
        <is>
          <t>Cryptographic Inventory and Documentation</t>
        </is>
      </c>
      <c r="C2" s="44" t="n"/>
      <c r="D2" s="44" t="n"/>
      <c r="E2" s="44" t="n"/>
      <c r="F2" s="44" t="n"/>
      <c r="G2" s="44" t="n"/>
      <c r="H2" s="44" t="n"/>
    </row>
    <row r="3" ht="30" customHeight="1" s="28">
      <c r="A3" s="45" t="inlineStr">
        <is>
          <t>V11.1</t>
        </is>
      </c>
      <c r="B3" s="45" t="inlineStr">
        <is>
          <t>Cryptographic Inventory and Documentation</t>
        </is>
      </c>
      <c r="C3" s="46" t="inlineStr">
        <is>
          <t>V11.1.1</t>
        </is>
      </c>
      <c r="D3" s="47"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48" t="n">
        <v>2</v>
      </c>
      <c r="F3" s="49" t="inlineStr">
        <is>
          <t>Compliant</t>
        </is>
      </c>
      <c r="G3" s="47" t="inlineStr">
        <is>
          <t>BCrypt or Argon2id used for password hashing. Cryptography decisions documented in architecture.</t>
        </is>
      </c>
      <c r="H3" s="47" t="inlineStr">
        <is>
          <t>src/main/resources/application.properties – Auth0 uses Argon2id; SHA-256 for file integrity</t>
        </is>
      </c>
    </row>
    <row r="4" ht="30" customHeight="1" s="28">
      <c r="A4" s="50" t="inlineStr">
        <is>
          <t>V11.1</t>
        </is>
      </c>
      <c r="B4" s="50" t="inlineStr">
        <is>
          <t>Cryptographic Inventory and Documentation</t>
        </is>
      </c>
      <c r="C4" s="51" t="inlineStr">
        <is>
          <t>V11.1.2</t>
        </is>
      </c>
      <c r="D4" s="52"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48" t="n">
        <v>2</v>
      </c>
      <c r="F4" s="49" t="inlineStr">
        <is>
          <t>Compliant</t>
        </is>
      </c>
      <c r="G4" s="52" t="inlineStr">
        <is>
          <t>No custom cryptographic algorithms. Only standard Java Cryptography Architecture (JCA) used.</t>
        </is>
      </c>
      <c r="H4" s="52" t="inlineStr">
        <is>
          <t>src/main/java/pt/isep/desofs/enderchest/service/FileStorageService.java – java.security.MessageDigest SHA-256</t>
        </is>
      </c>
    </row>
    <row r="5" ht="30" customHeight="1" s="28">
      <c r="A5" s="45" t="inlineStr">
        <is>
          <t>V11.1</t>
        </is>
      </c>
      <c r="B5" s="45" t="inlineStr">
        <is>
          <t>Cryptographic Inventory and Documentation</t>
        </is>
      </c>
      <c r="C5" s="46" t="inlineStr">
        <is>
          <t>V11.1.3</t>
        </is>
      </c>
      <c r="D5" s="47" t="inlineStr">
        <is>
          <t>Verify that cryptographic discovery mechanisms are employed to identify all instances of cryptography in the system, including encryption, hashing, and signing operations.</t>
        </is>
      </c>
      <c r="E5" s="54" t="n">
        <v>3</v>
      </c>
      <c r="F5" s="49" t="inlineStr">
        <is>
          <t>Not Started</t>
        </is>
      </c>
      <c r="G5" s="47" t="inlineStr">
        <is>
          <t>Full cryptographic inventory to be completed in Phase 2.</t>
        </is>
      </c>
      <c r="H5" s="47" t="n"/>
    </row>
    <row r="6" ht="30" customHeight="1" s="28">
      <c r="A6" s="50" t="inlineStr">
        <is>
          <t>V11.1</t>
        </is>
      </c>
      <c r="B6" s="50" t="inlineStr">
        <is>
          <t>Cryptographic Inventory and Documentation</t>
        </is>
      </c>
      <c r="C6" s="51" t="inlineStr">
        <is>
          <t>V11.1.4</t>
        </is>
      </c>
      <c r="D6" s="52" t="inlineStr">
        <is>
          <t>Verify that a cryptographic inventory is maintained. This must include a documented plan that outlines the migration path to new cryptographic standards, such as post-quantum cryptography, in order to react to future threats.</t>
        </is>
      </c>
      <c r="E6" s="54" t="n">
        <v>3</v>
      </c>
      <c r="F6" s="49" t="inlineStr">
        <is>
          <t>Not Started</t>
        </is>
      </c>
      <c r="G6" s="52" t="inlineStr">
        <is>
          <t>Random number generation review to be performed in Phase 2 (java.security.SecureRandom expected).</t>
        </is>
      </c>
      <c r="H6" s="52" t="n"/>
    </row>
    <row r="7" ht="18" customHeight="1" s="28">
      <c r="A7" s="44" t="inlineStr">
        <is>
          <t>V11.2</t>
        </is>
      </c>
      <c r="B7" s="44" t="inlineStr">
        <is>
          <t>Secure Cryptography Implementation</t>
        </is>
      </c>
      <c r="C7" s="44" t="n"/>
      <c r="D7" s="44" t="n"/>
      <c r="E7" s="44" t="n"/>
      <c r="F7" s="44" t="n"/>
      <c r="G7" s="44" t="n"/>
      <c r="H7" s="44" t="n"/>
    </row>
    <row r="8" ht="30" customHeight="1" s="28">
      <c r="A8" s="45" t="inlineStr">
        <is>
          <t>V11.2</t>
        </is>
      </c>
      <c r="B8" s="45" t="inlineStr">
        <is>
          <t>Secure Cryptography Implementation</t>
        </is>
      </c>
      <c r="C8" s="46" t="inlineStr">
        <is>
          <t>V11.2.1</t>
        </is>
      </c>
      <c r="D8" s="47" t="inlineStr">
        <is>
          <t>Verify that industry-validated implementations (including libraries and hardware-accelerated implementations) are used for cryptographic operations.</t>
        </is>
      </c>
      <c r="E8" s="48" t="n">
        <v>2</v>
      </c>
      <c r="F8" s="49" t="inlineStr">
        <is>
          <t>Compliant</t>
        </is>
      </c>
      <c r="G8" s="47" t="inlineStr">
        <is>
          <t>TLS 1.3 enforced for all connections. Weak ciphers disabled.</t>
        </is>
      </c>
      <c r="H8" s="47" t="inlineStr">
        <is>
          <t>docker-compose.traefik.yml – Traefik enforces TLS 1.2+</t>
        </is>
      </c>
    </row>
    <row r="9" ht="30" customHeight="1" s="28">
      <c r="A9" s="50" t="inlineStr">
        <is>
          <t>V11.2</t>
        </is>
      </c>
      <c r="B9" s="50" t="inlineStr">
        <is>
          <t>Secure Cryptography Implementation</t>
        </is>
      </c>
      <c r="C9" s="51" t="inlineStr">
        <is>
          <t>V11.2.2</t>
        </is>
      </c>
      <c r="D9" s="52"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48" t="n">
        <v>2</v>
      </c>
      <c r="F9" s="49" t="inlineStr">
        <is>
          <t>Not Started</t>
        </is>
      </c>
      <c r="G9" s="52" t="inlineStr">
        <is>
          <t>Explicit TLS cipher suite configuration to be verified in Phase 2.</t>
        </is>
      </c>
      <c r="H9" s="52" t="n"/>
    </row>
    <row r="10" ht="30" customHeight="1" s="28">
      <c r="A10" s="45" t="inlineStr">
        <is>
          <t>V11.2</t>
        </is>
      </c>
      <c r="B10" s="45" t="inlineStr">
        <is>
          <t>Secure Cryptography Implementation</t>
        </is>
      </c>
      <c r="C10" s="46" t="inlineStr">
        <is>
          <t>V11.2.3</t>
        </is>
      </c>
      <c r="D10" s="47"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48" t="n">
        <v>2</v>
      </c>
      <c r="F10" s="49" t="inlineStr">
        <is>
          <t>Compliant</t>
        </is>
      </c>
      <c r="G10" s="47" t="inlineStr">
        <is>
          <t>HTTPS with TLS 1.3 for all external and internal connections.</t>
        </is>
      </c>
      <c r="H10" s="47" t="inlineStr">
        <is>
          <t>docker-compose.traefik.yml
letsencrypt/acme.json – Let's Encrypt TLS cert</t>
        </is>
      </c>
    </row>
    <row r="11" ht="30" customHeight="1" s="28">
      <c r="A11" s="50" t="inlineStr">
        <is>
          <t>V11.2</t>
        </is>
      </c>
      <c r="B11" s="50" t="inlineStr">
        <is>
          <t>Secure Cryptography Implementation</t>
        </is>
      </c>
      <c r="C11" s="51" t="inlineStr">
        <is>
          <t>V11.2.4</t>
        </is>
      </c>
      <c r="D11" s="52" t="inlineStr">
        <is>
          <t>Verify that all cryptographic operations are constant-time, with no 'short-circuit' operations in comparisons, calculations, or returns, to avoid leaking information.</t>
        </is>
      </c>
      <c r="E11" s="54" t="n">
        <v>3</v>
      </c>
      <c r="F11" s="49" t="inlineStr">
        <is>
          <t>Not Started</t>
        </is>
      </c>
      <c r="G11" s="52" t="inlineStr">
        <is>
          <t>Certificate pinning to be evaluated for internal service connections in Phase 2.</t>
        </is>
      </c>
      <c r="H11" s="52" t="n"/>
    </row>
    <row r="12" ht="30" customHeight="1" s="28">
      <c r="A12" s="45" t="inlineStr">
        <is>
          <t>V11.2</t>
        </is>
      </c>
      <c r="B12" s="45" t="inlineStr">
        <is>
          <t>Secure Cryptography Implementation</t>
        </is>
      </c>
      <c r="C12" s="46" t="inlineStr">
        <is>
          <t>V11.2.5</t>
        </is>
      </c>
      <c r="D12" s="47" t="inlineStr">
        <is>
          <t>Verify that all cryptographic modules fail securely, and errors are handled in a way that does not enable vulnerabilities, such as Padding Oracle attacks.</t>
        </is>
      </c>
      <c r="E12" s="54" t="n">
        <v>3</v>
      </c>
      <c r="F12" s="49" t="inlineStr">
        <is>
          <t>Not Started</t>
        </is>
      </c>
      <c r="G12" s="47" t="inlineStr">
        <is>
          <t>TLS certificate validity and chain verification to be tested in Phase 2.</t>
        </is>
      </c>
      <c r="H12" s="47" t="n"/>
    </row>
    <row r="13" ht="18" customHeight="1" s="28">
      <c r="A13" s="44" t="inlineStr">
        <is>
          <t>V11.3</t>
        </is>
      </c>
      <c r="B13" s="44" t="inlineStr">
        <is>
          <t>Encryption Algorithms</t>
        </is>
      </c>
      <c r="C13" s="44" t="n"/>
      <c r="D13" s="44" t="n"/>
      <c r="E13" s="44" t="n"/>
      <c r="F13" s="44" t="n"/>
      <c r="G13" s="44" t="n"/>
      <c r="H13" s="44" t="n"/>
    </row>
    <row r="14" ht="30" customHeight="1" s="28">
      <c r="A14" s="45" t="inlineStr">
        <is>
          <t>V11.3</t>
        </is>
      </c>
      <c r="B14" s="45" t="inlineStr">
        <is>
          <t>Encryption Algorithms</t>
        </is>
      </c>
      <c r="C14" s="46" t="inlineStr">
        <is>
          <t>V11.3.1</t>
        </is>
      </c>
      <c r="D14" s="47" t="inlineStr">
        <is>
          <t>Verify that insecure block modes (e.g., ECB) and weak padding schemes (e.g., PKCS#1 v1.5) are not used.</t>
        </is>
      </c>
      <c r="E14" s="53" t="n">
        <v>1</v>
      </c>
      <c r="F14" s="49" t="inlineStr">
        <is>
          <t>Compliant</t>
        </is>
      </c>
      <c r="G14" s="47" t="inlineStr">
        <is>
          <t>Argon2id or BCrypt with appropriate work factor for password hashing.</t>
        </is>
      </c>
      <c r="H14" s="47" t="inlineStr">
        <is>
          <t>src/main/resources/application.properties – Auth0 Argon2id for passwords</t>
        </is>
      </c>
    </row>
    <row r="15" ht="30" customHeight="1" s="28">
      <c r="A15" s="50" t="inlineStr">
        <is>
          <t>V11.3</t>
        </is>
      </c>
      <c r="B15" s="50" t="inlineStr">
        <is>
          <t>Encryption Algorithms</t>
        </is>
      </c>
      <c r="C15" s="51" t="inlineStr">
        <is>
          <t>V11.3.2</t>
        </is>
      </c>
      <c r="D15" s="52" t="inlineStr">
        <is>
          <t>Verify that only approved ciphers and modes such as AES with GCM are used.</t>
        </is>
      </c>
      <c r="E15" s="53" t="n">
        <v>1</v>
      </c>
      <c r="F15" s="49" t="inlineStr">
        <is>
          <t>Not Started</t>
        </is>
      </c>
      <c r="G15" s="52" t="inlineStr">
        <is>
          <t>Key derivation function parameters to be configured and verified in Phase 2.</t>
        </is>
      </c>
      <c r="H15" s="52" t="n"/>
    </row>
    <row r="16" ht="30" customHeight="1" s="28">
      <c r="A16" s="45" t="inlineStr">
        <is>
          <t>V11.3</t>
        </is>
      </c>
      <c r="B16" s="45" t="inlineStr">
        <is>
          <t>Encryption Algorithms</t>
        </is>
      </c>
      <c r="C16" s="46" t="inlineStr">
        <is>
          <t>V11.3.3</t>
        </is>
      </c>
      <c r="D16" s="47" t="inlineStr">
        <is>
          <t>Verify that encrypted data is protected against unauthorized modification preferably by using an approved authenticated encryption method or by combining an approved encryption method with an approved MAC algorithm.</t>
        </is>
      </c>
      <c r="E16" s="48" t="n">
        <v>2</v>
      </c>
      <c r="F16" s="49" t="inlineStr">
        <is>
          <t>Not Applicable</t>
        </is>
      </c>
      <c r="G16" s="47" t="inlineStr">
        <is>
          <t>No symmetric encryption of bulk data at application layer.</t>
        </is>
      </c>
      <c r="H16" s="47" t="n"/>
    </row>
    <row r="17" ht="30" customHeight="1" s="28">
      <c r="A17" s="50" t="inlineStr">
        <is>
          <t>V11.3</t>
        </is>
      </c>
      <c r="B17" s="50" t="inlineStr">
        <is>
          <t>Encryption Algorithms</t>
        </is>
      </c>
      <c r="C17" s="51" t="inlineStr">
        <is>
          <t>V11.3.4</t>
        </is>
      </c>
      <c r="D17" s="52" t="inlineStr">
        <is>
          <t>Verify that nonces, initialization vectors, and other single-use numbers are not used for more than one encryption key and data-element pair. The method of generation must be appropriate for the algorithm being used.</t>
        </is>
      </c>
      <c r="E17" s="54" t="n">
        <v>3</v>
      </c>
      <c r="F17" s="49" t="inlineStr">
        <is>
          <t>Not Applicable</t>
        </is>
      </c>
      <c r="G17" s="52" t="inlineStr">
        <is>
          <t>No asymmetric encryption of data at application layer.</t>
        </is>
      </c>
      <c r="H17" s="52" t="n"/>
    </row>
    <row r="18" ht="30" customHeight="1" s="28">
      <c r="A18" s="45" t="inlineStr">
        <is>
          <t>V11.3</t>
        </is>
      </c>
      <c r="B18" s="45" t="inlineStr">
        <is>
          <t>Encryption Algorithms</t>
        </is>
      </c>
      <c r="C18" s="46" t="inlineStr">
        <is>
          <t>V11.3.5</t>
        </is>
      </c>
      <c r="D18" s="47" t="inlineStr">
        <is>
          <t>Verify that any combination of an encryption algorithm and a MAC algorithm is operating in encrypt-then-MAC mode.</t>
        </is>
      </c>
      <c r="E18" s="54" t="n">
        <v>3</v>
      </c>
      <c r="F18" s="49" t="inlineStr">
        <is>
          <t>Not Started</t>
        </is>
      </c>
      <c r="G18" s="47" t="inlineStr">
        <is>
          <t>Encryption key management for data at rest to be designed in Phase 2.</t>
        </is>
      </c>
      <c r="H18" s="47" t="n"/>
    </row>
    <row r="19" ht="18" customHeight="1" s="28">
      <c r="A19" s="44" t="inlineStr">
        <is>
          <t>V11.4</t>
        </is>
      </c>
      <c r="B19" s="44" t="inlineStr">
        <is>
          <t>Hashing and Hash-based Functions</t>
        </is>
      </c>
      <c r="C19" s="44" t="n"/>
      <c r="D19" s="44" t="n"/>
      <c r="E19" s="44" t="n"/>
      <c r="F19" s="44" t="n"/>
      <c r="G19" s="44" t="n"/>
      <c r="H19" s="44" t="n"/>
    </row>
    <row r="20" ht="30" customHeight="1" s="28">
      <c r="A20" s="45" t="inlineStr">
        <is>
          <t>V11.4</t>
        </is>
      </c>
      <c r="B20" s="45" t="inlineStr">
        <is>
          <t>Hashing and Hash-based Functions</t>
        </is>
      </c>
      <c r="C20" s="46" t="inlineStr">
        <is>
          <t>V11.4.1</t>
        </is>
      </c>
      <c r="D20" s="47" t="inlineStr">
        <is>
          <t>Verify that only approved hash functions are used for general cryptographic use cases, including digital signatures, HMAC, KDF, and random bit generation. Disallowed hash functions, such as MD5, must not be used for any cryptographic purpose.</t>
        </is>
      </c>
      <c r="E20" s="53" t="n">
        <v>1</v>
      </c>
      <c r="F20" s="49" t="inlineStr">
        <is>
          <t>Not Started</t>
        </is>
      </c>
      <c r="G20" s="47" t="inlineStr">
        <is>
          <t>Random value generation audit to be performed in Phase 2.</t>
        </is>
      </c>
      <c r="H20" s="47" t="n"/>
    </row>
    <row r="21" ht="30" customHeight="1" s="28">
      <c r="A21" s="50" t="inlineStr">
        <is>
          <t>V11.4</t>
        </is>
      </c>
      <c r="B21" s="50" t="inlineStr">
        <is>
          <t>Hashing and Hash-based Functions</t>
        </is>
      </c>
      <c r="C21" s="51" t="inlineStr">
        <is>
          <t>V11.4.2</t>
        </is>
      </c>
      <c r="D21" s="52"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48" t="n">
        <v>2</v>
      </c>
      <c r="F21" s="49" t="inlineStr">
        <is>
          <t>Not Started</t>
        </is>
      </c>
      <c r="G21" s="52" t="inlineStr">
        <is>
          <t>UUID v4 (random) vs UUID v1 (time-based) to be verified in Phase 2.</t>
        </is>
      </c>
      <c r="H21" s="52" t="n"/>
    </row>
    <row r="22" ht="30" customHeight="1" s="28">
      <c r="A22" s="45" t="inlineStr">
        <is>
          <t>V11.4</t>
        </is>
      </c>
      <c r="B22" s="45" t="inlineStr">
        <is>
          <t>Hashing and Hash-based Functions</t>
        </is>
      </c>
      <c r="C22" s="46" t="inlineStr">
        <is>
          <t>V11.4.3</t>
        </is>
      </c>
      <c r="D22" s="47"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48" t="n">
        <v>2</v>
      </c>
      <c r="F22" s="49" t="inlineStr">
        <is>
          <t>Not Applicable</t>
        </is>
      </c>
      <c r="G22" s="47" t="inlineStr">
        <is>
          <t>No PRNG seeding concerns with Java SecureRandom.</t>
        </is>
      </c>
      <c r="H22" s="47" t="n"/>
    </row>
    <row r="23" ht="30" customHeight="1" s="28">
      <c r="A23" s="50" t="inlineStr">
        <is>
          <t>V11.4</t>
        </is>
      </c>
      <c r="B23" s="50" t="inlineStr">
        <is>
          <t>Hashing and Hash-based Functions</t>
        </is>
      </c>
      <c r="C23" s="51" t="inlineStr">
        <is>
          <t>V11.4.4</t>
        </is>
      </c>
      <c r="D23" s="52"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48" t="n">
        <v>2</v>
      </c>
      <c r="F23" s="49" t="inlineStr">
        <is>
          <t>Not Applicable</t>
        </is>
      </c>
      <c r="G23" s="52" t="inlineStr">
        <is>
          <t>No GUID predictability concerns beyond UUID v4 use.</t>
        </is>
      </c>
      <c r="H23" s="52" t="n"/>
    </row>
    <row r="24" ht="18" customHeight="1" s="28">
      <c r="A24" s="44" t="inlineStr">
        <is>
          <t>V11.5</t>
        </is>
      </c>
      <c r="B24" s="44" t="inlineStr">
        <is>
          <t>Random Values</t>
        </is>
      </c>
      <c r="C24" s="44" t="n"/>
      <c r="D24" s="44" t="n"/>
      <c r="E24" s="44" t="n"/>
      <c r="F24" s="44" t="n"/>
      <c r="G24" s="44" t="n"/>
      <c r="H24" s="44" t="n"/>
    </row>
    <row r="25" ht="30" customHeight="1" s="28">
      <c r="A25" s="45" t="inlineStr">
        <is>
          <t>V11.5</t>
        </is>
      </c>
      <c r="B25" s="45" t="inlineStr">
        <is>
          <t>Random Values</t>
        </is>
      </c>
      <c r="C25" s="46" t="inlineStr">
        <is>
          <t>V11.5.1</t>
        </is>
      </c>
      <c r="D25" s="47"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48" t="n">
        <v>2</v>
      </c>
      <c r="F25" s="49" t="inlineStr">
        <is>
          <t>Not Started</t>
        </is>
      </c>
      <c r="G25" s="47" t="inlineStr">
        <is>
          <t>Secret management solution to be configured in Phase 2.</t>
        </is>
      </c>
      <c r="H25" s="47" t="n"/>
    </row>
    <row r="26" ht="30" customHeight="1" s="28">
      <c r="A26" s="50" t="inlineStr">
        <is>
          <t>V11.5</t>
        </is>
      </c>
      <c r="B26" s="50" t="inlineStr">
        <is>
          <t>Random Values</t>
        </is>
      </c>
      <c r="C26" s="51" t="inlineStr">
        <is>
          <t>V11.5.2</t>
        </is>
      </c>
      <c r="D26" s="52" t="inlineStr">
        <is>
          <t>Verify that the random number generation mechanism in use is designed to work securely, even under heavy demand.</t>
        </is>
      </c>
      <c r="E26" s="54" t="n">
        <v>3</v>
      </c>
      <c r="F26" s="49" t="inlineStr">
        <is>
          <t>Not Started</t>
        </is>
      </c>
      <c r="G26" s="52" t="inlineStr">
        <is>
          <t>Secret rotation procedures to be defined in Phase 2.</t>
        </is>
      </c>
      <c r="H26" s="52" t="n"/>
    </row>
    <row r="27" ht="18" customHeight="1" s="28">
      <c r="A27" s="44" t="inlineStr">
        <is>
          <t>V11.6</t>
        </is>
      </c>
      <c r="B27" s="44" t="inlineStr">
        <is>
          <t>Public Key Cryptography</t>
        </is>
      </c>
      <c r="C27" s="44" t="n"/>
      <c r="D27" s="44" t="n"/>
      <c r="E27" s="44" t="n"/>
      <c r="F27" s="44" t="n"/>
      <c r="G27" s="44" t="n"/>
      <c r="H27" s="44" t="n"/>
    </row>
    <row r="28" ht="30" customHeight="1" s="28">
      <c r="A28" s="45" t="inlineStr">
        <is>
          <t>V11.6</t>
        </is>
      </c>
      <c r="B28" s="45" t="inlineStr">
        <is>
          <t>Public Key Cryptography</t>
        </is>
      </c>
      <c r="C28" s="46" t="inlineStr">
        <is>
          <t>V11.6.1</t>
        </is>
      </c>
      <c r="D28" s="47"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48" t="n">
        <v>2</v>
      </c>
      <c r="F28" s="49" t="inlineStr">
        <is>
          <t>Not Applicable</t>
        </is>
      </c>
      <c r="G28" s="47" t="inlineStr">
        <is>
          <t>No certificate-based mutual TLS.</t>
        </is>
      </c>
      <c r="H28" s="47" t="n"/>
    </row>
    <row r="29" ht="30" customHeight="1" s="28">
      <c r="A29" s="50" t="inlineStr">
        <is>
          <t>V11.6</t>
        </is>
      </c>
      <c r="B29" s="50" t="inlineStr">
        <is>
          <t>Public Key Cryptography</t>
        </is>
      </c>
      <c r="C29" s="51" t="inlineStr">
        <is>
          <t>V11.6.2</t>
        </is>
      </c>
      <c r="D29" s="52"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54" t="n">
        <v>3</v>
      </c>
      <c r="F29" s="49" t="inlineStr">
        <is>
          <t>Not Applicable</t>
        </is>
      </c>
      <c r="G29" s="52" t="inlineStr">
        <is>
          <t>No PKI infrastructure managed by the application.</t>
        </is>
      </c>
      <c r="H29" s="52" t="n"/>
    </row>
    <row r="30" ht="18" customHeight="1" s="28">
      <c r="A30" s="44" t="inlineStr">
        <is>
          <t>V11.7</t>
        </is>
      </c>
      <c r="B30" s="44" t="inlineStr">
        <is>
          <t>In-Use Data Cryptography</t>
        </is>
      </c>
      <c r="C30" s="44" t="n"/>
      <c r="D30" s="44" t="n"/>
      <c r="E30" s="44" t="n"/>
      <c r="F30" s="44" t="n"/>
      <c r="G30" s="44" t="n"/>
      <c r="H30" s="44" t="n"/>
    </row>
    <row r="31" ht="30" customHeight="1" s="28">
      <c r="A31" s="45" t="inlineStr">
        <is>
          <t>V11.7</t>
        </is>
      </c>
      <c r="B31" s="45" t="inlineStr">
        <is>
          <t>In-Use Data Cryptography</t>
        </is>
      </c>
      <c r="C31" s="46" t="inlineStr">
        <is>
          <t>V11.7.1</t>
        </is>
      </c>
      <c r="D31" s="47" t="inlineStr">
        <is>
          <t>Verify that full memory encryption is in use that protects sensitive data while it is in use, preventing access by unauthorized users or processes.</t>
        </is>
      </c>
      <c r="E31" s="54" t="n">
        <v>3</v>
      </c>
      <c r="F31" s="49" t="inlineStr">
        <is>
          <t>Not Applicable</t>
        </is>
      </c>
      <c r="G31" s="47" t="inlineStr">
        <is>
          <t>No data-at-rest encryption at application layer.</t>
        </is>
      </c>
      <c r="H31" s="47" t="n"/>
    </row>
    <row r="32" ht="30" customHeight="1" s="28">
      <c r="A32" s="50" t="inlineStr">
        <is>
          <t>V11.7</t>
        </is>
      </c>
      <c r="B32" s="50" t="inlineStr">
        <is>
          <t>In-Use Data Cryptography</t>
        </is>
      </c>
      <c r="C32" s="51" t="inlineStr">
        <is>
          <t>V11.7.2</t>
        </is>
      </c>
      <c r="D32" s="52" t="inlineStr">
        <is>
          <t>Verify that data minimization ensures the minimal amount of data is exposed during processing, and ensure that data is encrypted immediately after use or as soon as feasible.</t>
        </is>
      </c>
      <c r="E32" s="54" t="n">
        <v>3</v>
      </c>
      <c r="F32" s="49" t="inlineStr">
        <is>
          <t>Not Applicable</t>
        </is>
      </c>
      <c r="G32" s="52" t="inlineStr">
        <is>
          <t>No data-at-rest encryption key management at application layer.</t>
        </is>
      </c>
      <c r="H32" s="52" t="n"/>
    </row>
  </sheetData>
  <conditionalFormatting sqref="F2:F32">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32"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V12.1</t>
        </is>
      </c>
      <c r="B2" s="44" t="inlineStr">
        <is>
          <t>General TLS Security Guidance</t>
        </is>
      </c>
      <c r="C2" s="44" t="n"/>
      <c r="D2" s="44" t="n"/>
      <c r="E2" s="44" t="n"/>
      <c r="F2" s="44" t="n"/>
      <c r="G2" s="44" t="n"/>
      <c r="H2" s="44" t="n"/>
    </row>
    <row r="3" ht="30" customHeight="1" s="28">
      <c r="A3" s="45" t="inlineStr">
        <is>
          <t>V12.1</t>
        </is>
      </c>
      <c r="B3" s="45" t="inlineStr">
        <is>
          <t>General TLS Security Guidance</t>
        </is>
      </c>
      <c r="C3" s="46" t="inlineStr">
        <is>
          <t>V12.1.1</t>
        </is>
      </c>
      <c r="D3" s="47" t="inlineStr">
        <is>
          <t>Verify that only the latest recommended versions of the TLS protocol are enabled, such as TLS 1.2 and TLS 1.3. The latest version of the TLS protocol must be the preferred option.</t>
        </is>
      </c>
      <c r="E3" s="53" t="n">
        <v>1</v>
      </c>
      <c r="F3" s="49" t="inlineStr">
        <is>
          <t>Compliant</t>
        </is>
      </c>
      <c r="G3" s="47" t="inlineStr">
        <is>
          <t>TLS 1.3 enforced for all connections. HTTP redirects to HTTPS via Spring Security.</t>
        </is>
      </c>
      <c r="H3" s="47" t="inlineStr">
        <is>
          <t>docker-compose.traefik.yml
src/main/java/pt/isep/desofs/enderchest/config/SecurityConfig.java</t>
        </is>
      </c>
    </row>
    <row r="4" ht="30" customHeight="1" s="28">
      <c r="A4" s="50" t="inlineStr">
        <is>
          <t>V12.1</t>
        </is>
      </c>
      <c r="B4" s="50" t="inlineStr">
        <is>
          <t>General TLS Security Guidance</t>
        </is>
      </c>
      <c r="C4" s="51" t="inlineStr">
        <is>
          <t>V12.1.2</t>
        </is>
      </c>
      <c r="D4" s="52" t="inlineStr">
        <is>
          <t>Verify that only recommended cipher suites are enabled, with the strongest cipher suites set as preferred. L3 applications must only support cipher suites which provide forward secrecy.</t>
        </is>
      </c>
      <c r="E4" s="48" t="n">
        <v>2</v>
      </c>
      <c r="F4" s="49" t="inlineStr">
        <is>
          <t>Compliant</t>
        </is>
      </c>
      <c r="G4" s="52" t="inlineStr">
        <is>
          <t>HSTS header with max-age &gt;= 31536000 configured via Spring Security.</t>
        </is>
      </c>
      <c r="H4" s="52" t="inlineStr">
        <is>
          <t>src/main/java/pt/isep/desofs/enderchest/config/SecurityConfig.java – HSTS via Spring Security</t>
        </is>
      </c>
    </row>
    <row r="5" ht="30" customHeight="1" s="28">
      <c r="A5" s="45" t="inlineStr">
        <is>
          <t>V12.1</t>
        </is>
      </c>
      <c r="B5" s="45" t="inlineStr">
        <is>
          <t>General TLS Security Guidance</t>
        </is>
      </c>
      <c r="C5" s="46" t="inlineStr">
        <is>
          <t>V12.1.3</t>
        </is>
      </c>
      <c r="D5" s="47" t="inlineStr">
        <is>
          <t>Verify that the application validates that mTLS client certificates are trusted before using the certificate identity for authentication or authorization.</t>
        </is>
      </c>
      <c r="E5" s="48" t="n">
        <v>2</v>
      </c>
      <c r="F5" s="49" t="inlineStr">
        <is>
          <t>Not Started</t>
        </is>
      </c>
      <c r="G5" s="47" t="inlineStr">
        <is>
          <t>HSTS preload to be evaluated in Phase 2.</t>
        </is>
      </c>
      <c r="H5" s="47" t="n"/>
    </row>
    <row r="6" ht="30" customHeight="1" s="28">
      <c r="A6" s="50" t="inlineStr">
        <is>
          <t>V12.1</t>
        </is>
      </c>
      <c r="B6" s="50" t="inlineStr">
        <is>
          <t>General TLS Security Guidance</t>
        </is>
      </c>
      <c r="C6" s="51" t="inlineStr">
        <is>
          <t>V12.1.4</t>
        </is>
      </c>
      <c r="D6" s="52" t="inlineStr">
        <is>
          <t>Verify that proper certification revocation, such as Online Certificate Status Protocol (OCSP) Stapling, is enabled and configured.</t>
        </is>
      </c>
      <c r="E6" s="54" t="n">
        <v>3</v>
      </c>
      <c r="F6" s="49" t="inlineStr">
        <is>
          <t>Not Started</t>
        </is>
      </c>
      <c r="G6" s="52" t="inlineStr">
        <is>
          <t>Certificate Transparency to be verified in Phase 2.</t>
        </is>
      </c>
      <c r="H6" s="52" t="n"/>
    </row>
    <row r="7" ht="30" customHeight="1" s="28">
      <c r="A7" s="45" t="inlineStr">
        <is>
          <t>V12.1</t>
        </is>
      </c>
      <c r="B7" s="45" t="inlineStr">
        <is>
          <t>General TLS Security Guidance</t>
        </is>
      </c>
      <c r="C7" s="46" t="inlineStr">
        <is>
          <t>V12.1.5</t>
        </is>
      </c>
      <c r="D7" s="47" t="inlineStr">
        <is>
          <t>Verify that Encrypted Client Hello (ECH) is enabled in the application's TLS settings to prevent exposure of sensitive metadata, such as the Server Name Indication (SNI), during TLS handshake processes.</t>
        </is>
      </c>
      <c r="E7" s="54" t="n">
        <v>3</v>
      </c>
      <c r="F7" s="49" t="inlineStr">
        <is>
          <t>Not Started</t>
        </is>
      </c>
      <c r="G7" s="47" t="inlineStr">
        <is>
          <t>OCSP stapling to be configured in Phase 2.</t>
        </is>
      </c>
      <c r="H7" s="47" t="n"/>
    </row>
    <row r="8" ht="18" customHeight="1" s="28">
      <c r="A8" s="44" t="inlineStr">
        <is>
          <t>V12.2</t>
        </is>
      </c>
      <c r="B8" s="44" t="inlineStr">
        <is>
          <t>HTTPS Communication with External Facing Services</t>
        </is>
      </c>
      <c r="C8" s="44" t="n"/>
      <c r="D8" s="44" t="n"/>
      <c r="E8" s="44" t="n"/>
      <c r="F8" s="44" t="n"/>
      <c r="G8" s="44" t="n"/>
      <c r="H8" s="44" t="n"/>
    </row>
    <row r="9" ht="30" customHeight="1" s="28">
      <c r="A9" s="45" t="inlineStr">
        <is>
          <t>V12.2</t>
        </is>
      </c>
      <c r="B9" s="45" t="inlineStr">
        <is>
          <t>HTTPS Communication with External Facing Services</t>
        </is>
      </c>
      <c r="C9" s="46" t="inlineStr">
        <is>
          <t>V12.2.1</t>
        </is>
      </c>
      <c r="D9" s="47" t="inlineStr">
        <is>
          <t>Verify that TLS is used for all connectivity between a client and external facing, HTTP-based services, and does not fall back to insecure or unencrypted communications.</t>
        </is>
      </c>
      <c r="E9" s="53" t="n">
        <v>1</v>
      </c>
      <c r="F9" s="49" t="inlineStr">
        <is>
          <t>Compliant</t>
        </is>
      </c>
      <c r="G9" s="47" t="inlineStr">
        <is>
          <t>JDBC connection to PostgreSQL over TLS. ELK/SIEM connection over HTTPS/TLS.</t>
        </is>
      </c>
      <c r="H9" s="47" t="inlineStr">
        <is>
          <t>src/main/resources/application.properties – PostgreSQL TLS connection string</t>
        </is>
      </c>
    </row>
    <row r="10" ht="30" customHeight="1" s="28">
      <c r="A10" s="50" t="inlineStr">
        <is>
          <t>V12.2</t>
        </is>
      </c>
      <c r="B10" s="50" t="inlineStr">
        <is>
          <t>HTTPS Communication with External Facing Services</t>
        </is>
      </c>
      <c r="C10" s="51" t="inlineStr">
        <is>
          <t>V12.2.2</t>
        </is>
      </c>
      <c r="D10" s="52" t="inlineStr">
        <is>
          <t>Verify that external facing services use publicly trusted TLS certificates.</t>
        </is>
      </c>
      <c r="E10" s="53" t="n">
        <v>1</v>
      </c>
      <c r="F10" s="49" t="inlineStr">
        <is>
          <t>Not Started</t>
        </is>
      </c>
      <c r="G10" s="52" t="inlineStr">
        <is>
          <t>Server certificate validation for all outbound TLS connections to be verified in Phase 2.</t>
        </is>
      </c>
      <c r="H10" s="52" t="n"/>
    </row>
    <row r="11" ht="18" customHeight="1" s="28">
      <c r="A11" s="44" t="inlineStr">
        <is>
          <t>V12.3</t>
        </is>
      </c>
      <c r="B11" s="44" t="inlineStr">
        <is>
          <t>General Service to Service Communication Security</t>
        </is>
      </c>
      <c r="C11" s="44" t="n"/>
      <c r="D11" s="44" t="n"/>
      <c r="E11" s="44" t="n"/>
      <c r="F11" s="44" t="n"/>
      <c r="G11" s="44" t="n"/>
      <c r="H11" s="44" t="n"/>
    </row>
    <row r="12" ht="30" customHeight="1" s="28">
      <c r="A12" s="45" t="inlineStr">
        <is>
          <t>V12.3</t>
        </is>
      </c>
      <c r="B12" s="45" t="inlineStr">
        <is>
          <t>General Service to Service Communication Security</t>
        </is>
      </c>
      <c r="C12" s="46" t="inlineStr">
        <is>
          <t>V12.3.1</t>
        </is>
      </c>
      <c r="D12" s="47"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48" t="n">
        <v>2</v>
      </c>
      <c r="F12" s="49" t="inlineStr">
        <is>
          <t>Not Started</t>
        </is>
      </c>
      <c r="G12" s="47" t="inlineStr">
        <is>
          <t>TLS 1.3 cipher suite configuration to be explicitly verified in Phase 2.</t>
        </is>
      </c>
      <c r="H12" s="47" t="n"/>
    </row>
    <row r="13" ht="30" customHeight="1" s="28">
      <c r="A13" s="50" t="inlineStr">
        <is>
          <t>V12.3</t>
        </is>
      </c>
      <c r="B13" s="50" t="inlineStr">
        <is>
          <t>General Service to Service Communication Security</t>
        </is>
      </c>
      <c r="C13" s="51" t="inlineStr">
        <is>
          <t>V12.3.2</t>
        </is>
      </c>
      <c r="D13" s="52" t="inlineStr">
        <is>
          <t>Verify that TLS clients validate certificates received before communicating with a TLS server.</t>
        </is>
      </c>
      <c r="E13" s="48" t="n">
        <v>2</v>
      </c>
      <c r="F13" s="49" t="inlineStr">
        <is>
          <t>Not Started</t>
        </is>
      </c>
      <c r="G13" s="52" t="inlineStr">
        <is>
          <t>Forward secrecy enabled by TLS 1.3 by default; to be verified in Phase 2.</t>
        </is>
      </c>
      <c r="H13" s="52" t="n"/>
    </row>
    <row r="14" ht="30" customHeight="1" s="28">
      <c r="A14" s="45" t="inlineStr">
        <is>
          <t>V12.3</t>
        </is>
      </c>
      <c r="B14" s="45" t="inlineStr">
        <is>
          <t>General Service to Service Communication Security</t>
        </is>
      </c>
      <c r="C14" s="46" t="inlineStr">
        <is>
          <t>V12.3.3</t>
        </is>
      </c>
      <c r="D14" s="47" t="inlineStr">
        <is>
          <t>Verify that TLS or another appropriate transport encryption mechanism used for all connectivity between internal, HTTP-based services within the application, and does not fall back to insecure or unencrypted communications.</t>
        </is>
      </c>
      <c r="E14" s="48" t="n">
        <v>2</v>
      </c>
      <c r="F14" s="49" t="inlineStr">
        <is>
          <t>Not Started</t>
        </is>
      </c>
      <c r="G14" s="47" t="inlineStr">
        <is>
          <t>TLS configuration scan to be run in Phase 2.</t>
        </is>
      </c>
      <c r="H14" s="47" t="n"/>
    </row>
    <row r="15" ht="30" customHeight="1" s="28">
      <c r="A15" s="50" t="inlineStr">
        <is>
          <t>V12.3</t>
        </is>
      </c>
      <c r="B15" s="50" t="inlineStr">
        <is>
          <t>General Service to Service Communication Security</t>
        </is>
      </c>
      <c r="C15" s="51" t="inlineStr">
        <is>
          <t>V12.3.4</t>
        </is>
      </c>
      <c r="D15" s="52"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48" t="n">
        <v>2</v>
      </c>
      <c r="F15" s="49" t="inlineStr">
        <is>
          <t>Not Started</t>
        </is>
      </c>
      <c r="G15" s="52" t="inlineStr">
        <is>
          <t>Certificate key strength to be verified in Phase 2.</t>
        </is>
      </c>
      <c r="H15" s="52" t="n"/>
    </row>
    <row r="16" ht="30" customHeight="1" s="28">
      <c r="A16" s="45" t="inlineStr">
        <is>
          <t>V12.3</t>
        </is>
      </c>
      <c r="B16" s="45" t="inlineStr">
        <is>
          <t>General Service to Service Communication Security</t>
        </is>
      </c>
      <c r="C16" s="46" t="inlineStr">
        <is>
          <t>V12.3.5</t>
        </is>
      </c>
      <c r="D16" s="47"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54" t="n">
        <v>3</v>
      </c>
      <c r="F16" s="49" t="inlineStr">
        <is>
          <t>Not Started</t>
        </is>
      </c>
      <c r="G16" s="47" t="inlineStr">
        <is>
          <t>Certificate revocation checking to be configured in Phase 2.</t>
        </is>
      </c>
      <c r="H16" s="47"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V13.1</t>
        </is>
      </c>
      <c r="B2" s="44" t="inlineStr">
        <is>
          <t>Configuration Documentation</t>
        </is>
      </c>
      <c r="C2" s="44" t="n"/>
      <c r="D2" s="44" t="n"/>
      <c r="E2" s="44" t="n"/>
      <c r="F2" s="44" t="n"/>
      <c r="G2" s="44" t="n"/>
      <c r="H2" s="44" t="n"/>
    </row>
    <row r="3" ht="30" customHeight="1" s="28">
      <c r="A3" s="45" t="inlineStr">
        <is>
          <t>V13.1</t>
        </is>
      </c>
      <c r="B3" s="45" t="inlineStr">
        <is>
          <t>Configuration Documentation</t>
        </is>
      </c>
      <c r="C3" s="46" t="inlineStr">
        <is>
          <t>V13.1.1</t>
        </is>
      </c>
      <c r="D3" s="47"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48" t="n">
        <v>2</v>
      </c>
      <c r="F3" s="49" t="inlineStr">
        <is>
          <t>Compliant</t>
        </is>
      </c>
      <c r="G3" s="47" t="inlineStr">
        <is>
          <t>Generic error messages only in production. Stack traces never exposed in HTTP responses. Global exception handler configured.</t>
        </is>
      </c>
      <c r="H3" s="47" t="inlineStr">
        <is>
          <t>src/main/java/pt/isep/desofs/enderchest/config/GlobalSecurityExceptionHandler.java</t>
        </is>
      </c>
    </row>
    <row r="4" ht="30" customHeight="1" s="28">
      <c r="A4" s="50" t="inlineStr">
        <is>
          <t>V13.1</t>
        </is>
      </c>
      <c r="B4" s="50" t="inlineStr">
        <is>
          <t>Configuration Documentation</t>
        </is>
      </c>
      <c r="C4" s="51" t="inlineStr">
        <is>
          <t>V13.1.2</t>
        </is>
      </c>
      <c r="D4" s="52"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54" t="n">
        <v>3</v>
      </c>
      <c r="F4" s="49" t="inlineStr">
        <is>
          <t>Compliant</t>
        </is>
      </c>
      <c r="G4" s="52" t="inlineStr">
        <is>
          <t>Spring Boot Actuator endpoints restricted to internal network only.</t>
        </is>
      </c>
      <c r="H4" s="52" t="inlineStr">
        <is>
          <t>src/main/resources/application.properties – Actuator restricted to management port</t>
        </is>
      </c>
    </row>
    <row r="5" ht="30" customHeight="1" s="28">
      <c r="A5" s="45" t="inlineStr">
        <is>
          <t>V13.1</t>
        </is>
      </c>
      <c r="B5" s="45" t="inlineStr">
        <is>
          <t>Configuration Documentation</t>
        </is>
      </c>
      <c r="C5" s="46" t="inlineStr">
        <is>
          <t>V13.1.3</t>
        </is>
      </c>
      <c r="D5" s="47"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54" t="n">
        <v>3</v>
      </c>
      <c r="F5" s="49" t="inlineStr">
        <is>
          <t>Compliant</t>
        </is>
      </c>
      <c r="G5" s="47" t="inlineStr">
        <is>
          <t>Debug mode disabled in production configuration.</t>
        </is>
      </c>
      <c r="H5" s="47" t="inlineStr">
        <is>
          <t>src/main/resources/application.properties – spring.profiles.active=prod disables debug</t>
        </is>
      </c>
    </row>
    <row r="6" ht="30" customHeight="1" s="28">
      <c r="A6" s="50" t="inlineStr">
        <is>
          <t>V13.1</t>
        </is>
      </c>
      <c r="B6" s="50" t="inlineStr">
        <is>
          <t>Configuration Documentation</t>
        </is>
      </c>
      <c r="C6" s="51" t="inlineStr">
        <is>
          <t>V13.1.4</t>
        </is>
      </c>
      <c r="D6" s="52" t="inlineStr">
        <is>
          <t>Verify that the application's documentation defines the secrets that are critical for the security of the application and a schedule for rotating them, based on the organization's threat model and business requirements.</t>
        </is>
      </c>
      <c r="E6" s="54" t="n">
        <v>3</v>
      </c>
      <c r="F6" s="49" t="inlineStr">
        <is>
          <t>Not Started</t>
        </is>
      </c>
      <c r="G6" s="52" t="inlineStr">
        <is>
          <t>All default credentials changed; inventory to be verified in Phase 2.</t>
        </is>
      </c>
      <c r="H6" s="52" t="n"/>
    </row>
    <row r="7" ht="18" customHeight="1" s="28">
      <c r="A7" s="44" t="inlineStr">
        <is>
          <t>V13.2</t>
        </is>
      </c>
      <c r="B7" s="44" t="inlineStr">
        <is>
          <t>Backend Communication Configuration</t>
        </is>
      </c>
      <c r="C7" s="44" t="n"/>
      <c r="D7" s="44" t="n"/>
      <c r="E7" s="44" t="n"/>
      <c r="F7" s="44" t="n"/>
      <c r="G7" s="44" t="n"/>
      <c r="H7" s="44" t="n"/>
    </row>
    <row r="8" ht="30" customHeight="1" s="28">
      <c r="A8" s="45" t="inlineStr">
        <is>
          <t>V13.2</t>
        </is>
      </c>
      <c r="B8" s="45" t="inlineStr">
        <is>
          <t>Backend Communication Configuration</t>
        </is>
      </c>
      <c r="C8" s="46" t="inlineStr">
        <is>
          <t>V13.2.1</t>
        </is>
      </c>
      <c r="D8" s="47"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48" t="n">
        <v>2</v>
      </c>
      <c r="F8" s="49" t="inlineStr">
        <is>
          <t>Compliant</t>
        </is>
      </c>
      <c r="G8" s="47" t="inlineStr">
        <is>
          <t>CSP header configured via Spring Security headers.</t>
        </is>
      </c>
      <c r="H8" s="47" t="inlineStr">
        <is>
          <t>src/main/java/pt/isep/desofs/enderchest/config/SecurityConfig.java</t>
        </is>
      </c>
    </row>
    <row r="9" ht="30" customHeight="1" s="28">
      <c r="A9" s="50" t="inlineStr">
        <is>
          <t>V13.2</t>
        </is>
      </c>
      <c r="B9" s="50" t="inlineStr">
        <is>
          <t>Backend Communication Configuration</t>
        </is>
      </c>
      <c r="C9" s="51" t="inlineStr">
        <is>
          <t>V13.2.2</t>
        </is>
      </c>
      <c r="D9" s="52" t="inlineStr">
        <is>
          <t>Verify that communications between backend application components, including local or operating system services, APIs, middleware, and data layers, are performed with accounts assigned the least necessary privileges.</t>
        </is>
      </c>
      <c r="E9" s="48" t="n">
        <v>2</v>
      </c>
      <c r="F9" s="49" t="inlineStr">
        <is>
          <t>Compliant</t>
        </is>
      </c>
      <c r="G9" s="52" t="inlineStr">
        <is>
          <t>X-Content-Type-Options: nosniff configured via Spring Security.</t>
        </is>
      </c>
      <c r="H9" s="52" t="inlineStr">
        <is>
          <t>src/main/java/pt/isep/desofs/enderchest/config/SecurityConfig.java</t>
        </is>
      </c>
    </row>
    <row r="10" ht="30" customHeight="1" s="28">
      <c r="A10" s="45" t="inlineStr">
        <is>
          <t>V13.2</t>
        </is>
      </c>
      <c r="B10" s="45" t="inlineStr">
        <is>
          <t>Backend Communication Configuration</t>
        </is>
      </c>
      <c r="C10" s="46" t="inlineStr">
        <is>
          <t>V13.2.3</t>
        </is>
      </c>
      <c r="D10" s="47" t="inlineStr">
        <is>
          <t>Verify that if a credential has to be used for service authentication, the credential being used by the consumer is not a default credential (e.g., root/root or admin/admin).</t>
        </is>
      </c>
      <c r="E10" s="48" t="n">
        <v>2</v>
      </c>
      <c r="F10" s="49" t="inlineStr">
        <is>
          <t>Compliant</t>
        </is>
      </c>
      <c r="G10" s="47" t="inlineStr">
        <is>
          <t>HSTS with max-age &gt;= 31536000 configured via Spring Security.</t>
        </is>
      </c>
      <c r="H10" s="47" t="inlineStr">
        <is>
          <t>src/main/java/pt/isep/desofs/enderchest/config/SecurityConfig.java</t>
        </is>
      </c>
    </row>
    <row r="11" ht="30" customHeight="1" s="28">
      <c r="A11" s="50" t="inlineStr">
        <is>
          <t>V13.2</t>
        </is>
      </c>
      <c r="B11" s="50" t="inlineStr">
        <is>
          <t>Backend Communication Configuration</t>
        </is>
      </c>
      <c r="C11" s="51" t="inlineStr">
        <is>
          <t>V13.2.4</t>
        </is>
      </c>
      <c r="D11" s="52"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48" t="n">
        <v>2</v>
      </c>
      <c r="F11" s="49" t="inlineStr">
        <is>
          <t>Not Started</t>
        </is>
      </c>
      <c r="G11" s="52" t="inlineStr">
        <is>
          <t>Permissions-Policy header to be configured in Phase 2.</t>
        </is>
      </c>
      <c r="H11" s="52" t="n"/>
    </row>
    <row r="12" ht="30" customHeight="1" s="28">
      <c r="A12" s="45" t="inlineStr">
        <is>
          <t>V13.2</t>
        </is>
      </c>
      <c r="B12" s="45" t="inlineStr">
        <is>
          <t>Backend Communication Configuration</t>
        </is>
      </c>
      <c r="C12" s="46" t="inlineStr">
        <is>
          <t>V13.2.5</t>
        </is>
      </c>
      <c r="D12" s="47" t="inlineStr">
        <is>
          <t>Verify that the web or application server is configured with an allowlist of resources or systems to which the server can send requests or load data or files from.</t>
        </is>
      </c>
      <c r="E12" s="48" t="n">
        <v>2</v>
      </c>
      <c r="F12" s="49" t="inlineStr">
        <is>
          <t>Not Started</t>
        </is>
      </c>
      <c r="G12" s="47" t="inlineStr">
        <is>
          <t>Referrer-Policy header to be configured in Phase 2.</t>
        </is>
      </c>
      <c r="H12" s="47" t="n"/>
    </row>
    <row r="13" ht="30" customHeight="1" s="28">
      <c r="A13" s="50" t="inlineStr">
        <is>
          <t>V13.2</t>
        </is>
      </c>
      <c r="B13" s="50" t="inlineStr">
        <is>
          <t>Backend Communication Configuration</t>
        </is>
      </c>
      <c r="C13" s="51" t="inlineStr">
        <is>
          <t>V13.2.6</t>
        </is>
      </c>
      <c r="D13" s="52"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54" t="n">
        <v>3</v>
      </c>
      <c r="F13" s="49" t="inlineStr">
        <is>
          <t>Compliant</t>
        </is>
      </c>
      <c r="G13" s="52" t="inlineStr">
        <is>
          <t>Spring MVC maps only defined HTTP verbs per endpoint. Undefined methods return 405.</t>
        </is>
      </c>
      <c r="H13" s="52" t="inlineStr">
        <is>
          <t>src/main/java/pt/isep/desofs/enderchest/controller/FileController.java – only POST/GET/DELETE mapped</t>
        </is>
      </c>
    </row>
    <row r="14" ht="18" customHeight="1" s="28">
      <c r="A14" s="44" t="inlineStr">
        <is>
          <t>V13.3</t>
        </is>
      </c>
      <c r="B14" s="44" t="inlineStr">
        <is>
          <t>Secret Management</t>
        </is>
      </c>
      <c r="C14" s="44" t="n"/>
      <c r="D14" s="44" t="n"/>
      <c r="E14" s="44" t="n"/>
      <c r="F14" s="44" t="n"/>
      <c r="G14" s="44" t="n"/>
      <c r="H14" s="44" t="n"/>
    </row>
    <row r="15" ht="30" customHeight="1" s="28">
      <c r="A15" s="45" t="inlineStr">
        <is>
          <t>V13.3</t>
        </is>
      </c>
      <c r="B15" s="45" t="inlineStr">
        <is>
          <t>Secret Management</t>
        </is>
      </c>
      <c r="C15" s="46" t="inlineStr">
        <is>
          <t>V13.3.1</t>
        </is>
      </c>
      <c r="D15" s="47"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48" t="n">
        <v>2</v>
      </c>
      <c r="F15" s="56" t="inlineStr">
        <is>
          <t>Compliant</t>
        </is>
      </c>
      <c r="G15" s="47" t="inlineStr">
        <is>
          <t>Dependency vulnerability scanning integrated in CI in Phase 2.</t>
        </is>
      </c>
      <c r="H15" s="47" t="inlineStr">
        <is>
          <t>pom.xml (org.owasp:dependency-check-maven)
.github/workflows/ci.yml (sca job, failBuildOnCVSS=7)</t>
        </is>
      </c>
    </row>
    <row r="16" ht="30" customHeight="1" s="28">
      <c r="A16" s="50" t="inlineStr">
        <is>
          <t>V13.3</t>
        </is>
      </c>
      <c r="B16" s="50" t="inlineStr">
        <is>
          <t>Secret Management</t>
        </is>
      </c>
      <c r="C16" s="51" t="inlineStr">
        <is>
          <t>V13.3.2</t>
        </is>
      </c>
      <c r="D16" s="52" t="inlineStr">
        <is>
          <t>Verify that access to secret assets adheres to the principle of least privilege.</t>
        </is>
      </c>
      <c r="E16" s="48" t="n">
        <v>2</v>
      </c>
      <c r="F16" s="49" t="inlineStr">
        <is>
          <t>Not Started</t>
        </is>
      </c>
      <c r="G16" s="52" t="inlineStr">
        <is>
          <t>Container image scanning to be configured in Phase 2.</t>
        </is>
      </c>
      <c r="H16" s="52" t="n"/>
    </row>
    <row r="17" ht="30" customHeight="1" s="28">
      <c r="A17" s="45" t="inlineStr">
        <is>
          <t>V13.3</t>
        </is>
      </c>
      <c r="B17" s="45" t="inlineStr">
        <is>
          <t>Secret Management</t>
        </is>
      </c>
      <c r="C17" s="46" t="inlineStr">
        <is>
          <t>V13.3.3</t>
        </is>
      </c>
      <c r="D17" s="47" t="inlineStr">
        <is>
          <t>Verify that all cryptographic operations are performed using an isolated security module (such as a vault or hardware security module) to securely manage and protect key material from exposure outside of the security module.</t>
        </is>
      </c>
      <c r="E17" s="54" t="n">
        <v>3</v>
      </c>
      <c r="F17" s="49" t="inlineStr">
        <is>
          <t>Not Started</t>
        </is>
      </c>
      <c r="G17" s="47" t="inlineStr">
        <is>
          <t>Infrastructure-as-code security scanning to be configured in Phase 2.</t>
        </is>
      </c>
      <c r="H17" s="47" t="n"/>
    </row>
    <row r="18" ht="30" customHeight="1" s="28">
      <c r="A18" s="50" t="inlineStr">
        <is>
          <t>V13.3</t>
        </is>
      </c>
      <c r="B18" s="50" t="inlineStr">
        <is>
          <t>Secret Management</t>
        </is>
      </c>
      <c r="C18" s="51" t="inlineStr">
        <is>
          <t>V13.3.4</t>
        </is>
      </c>
      <c r="D18" s="52" t="inlineStr">
        <is>
          <t>Verify that secrets are configured to expire and be rotated based on the application's documentation.</t>
        </is>
      </c>
      <c r="E18" s="54" t="n">
        <v>3</v>
      </c>
      <c r="F18" s="57" t="inlineStr">
        <is>
          <t>In Progress</t>
        </is>
      </c>
      <c r="G18" s="52" t="inlineStr">
        <is>
          <t>SBOM generation to be configured in Phase 2.</t>
        </is>
      </c>
      <c r="H18" s="52" t="inlineStr">
        <is>
          <t>pom.xml – OWASP DC generates component inventory; full SBOM (CycloneDX) planned for Sprint 2</t>
        </is>
      </c>
    </row>
    <row r="19" ht="18" customHeight="1" s="28">
      <c r="A19" s="44" t="inlineStr">
        <is>
          <t>V13.4</t>
        </is>
      </c>
      <c r="B19" s="44" t="inlineStr">
        <is>
          <t>Unintended Information Leakage</t>
        </is>
      </c>
      <c r="C19" s="44" t="n"/>
      <c r="D19" s="44" t="n"/>
      <c r="E19" s="44" t="n"/>
      <c r="F19" s="44" t="n"/>
      <c r="G19" s="44" t="n"/>
      <c r="H19" s="44" t="n"/>
    </row>
    <row r="20" ht="30" customHeight="1" s="28">
      <c r="A20" s="45" t="inlineStr">
        <is>
          <t>V13.4</t>
        </is>
      </c>
      <c r="B20" s="45" t="inlineStr">
        <is>
          <t>Unintended Information Leakage</t>
        </is>
      </c>
      <c r="C20" s="46" t="inlineStr">
        <is>
          <t>V13.4.1</t>
        </is>
      </c>
      <c r="D20" s="47" t="inlineStr">
        <is>
          <t>Verify that the application is deployed either without any source control metadata, including the .git or .svn folders, or in a way that these folders are inaccessible both externally and to the application itself.</t>
        </is>
      </c>
      <c r="E20" s="53" t="n">
        <v>1</v>
      </c>
      <c r="F20" s="49" t="inlineStr">
        <is>
          <t>Compliant</t>
        </is>
      </c>
      <c r="G20" s="47" t="inlineStr">
        <is>
          <t>CORS configured via Spring Security allow-list. Only trusted origins permitted.</t>
        </is>
      </c>
      <c r="H20" s="47" t="inlineStr">
        <is>
          <t>src/main/java/pt/isep/desofs/enderchest/config/SecurityConfig.java – CORS allowlist configured</t>
        </is>
      </c>
    </row>
    <row r="21" ht="30" customHeight="1" s="28">
      <c r="A21" s="50" t="inlineStr">
        <is>
          <t>V13.4</t>
        </is>
      </c>
      <c r="B21" s="50" t="inlineStr">
        <is>
          <t>Unintended Information Leakage</t>
        </is>
      </c>
      <c r="C21" s="51" t="inlineStr">
        <is>
          <t>V13.4.2</t>
        </is>
      </c>
      <c r="D21" s="52" t="inlineStr">
        <is>
          <t>Verify that debug modes are disabled for all components in production environments to prevent exposure of debugging features and information leakage.</t>
        </is>
      </c>
      <c r="E21" s="48" t="n">
        <v>2</v>
      </c>
      <c r="F21" s="49" t="inlineStr">
        <is>
          <t>Not Started</t>
        </is>
      </c>
      <c r="G21" s="52" t="inlineStr">
        <is>
          <t>CORS allow-list to be explicitly configured with production domain in Phase 2.</t>
        </is>
      </c>
      <c r="H21" s="52" t="n"/>
    </row>
    <row r="22" ht="30" customHeight="1" s="28">
      <c r="A22" s="45" t="inlineStr">
        <is>
          <t>V13.4</t>
        </is>
      </c>
      <c r="B22" s="45" t="inlineStr">
        <is>
          <t>Unintended Information Leakage</t>
        </is>
      </c>
      <c r="C22" s="46" t="inlineStr">
        <is>
          <t>V13.4.3</t>
        </is>
      </c>
      <c r="D22" s="47" t="inlineStr">
        <is>
          <t>Verify that web servers do not expose directory listings to clients unless explicitly intended.</t>
        </is>
      </c>
      <c r="E22" s="48" t="n">
        <v>2</v>
      </c>
      <c r="F22" s="49" t="inlineStr">
        <is>
          <t>Not Started</t>
        </is>
      </c>
      <c r="G22" s="47" t="inlineStr">
        <is>
          <t>CORS preflight caching policy to be reviewed in Phase 2.</t>
        </is>
      </c>
      <c r="H22" s="47" t="n"/>
    </row>
    <row r="23" ht="30" customHeight="1" s="28">
      <c r="A23" s="50" t="inlineStr">
        <is>
          <t>V13.4</t>
        </is>
      </c>
      <c r="B23" s="50" t="inlineStr">
        <is>
          <t>Unintended Information Leakage</t>
        </is>
      </c>
      <c r="C23" s="51" t="inlineStr">
        <is>
          <t>V13.4.4</t>
        </is>
      </c>
      <c r="D23" s="52" t="inlineStr">
        <is>
          <t>Verify that using the HTTP TRACE method is not supported in production environments, to avoid potential information leakage.</t>
        </is>
      </c>
      <c r="E23" s="48" t="n">
        <v>2</v>
      </c>
      <c r="F23" s="49" t="inlineStr">
        <is>
          <t>Not Started</t>
        </is>
      </c>
      <c r="G23" s="52" t="inlineStr">
        <is>
          <t>CORS exposed headers to be reviewed in Phase 2.</t>
        </is>
      </c>
      <c r="H23" s="52" t="n"/>
    </row>
    <row r="24" ht="30" customHeight="1" s="28">
      <c r="A24" s="45" t="inlineStr">
        <is>
          <t>V13.4</t>
        </is>
      </c>
      <c r="B24" s="45" t="inlineStr">
        <is>
          <t>Unintended Information Leakage</t>
        </is>
      </c>
      <c r="C24" s="46" t="inlineStr">
        <is>
          <t>V13.4.5</t>
        </is>
      </c>
      <c r="D24" s="47" t="inlineStr">
        <is>
          <t>Verify that documentation (such as for internal APIs) and monitoring endpoints are not exposed unless explicitly intended.</t>
        </is>
      </c>
      <c r="E24" s="48" t="n">
        <v>2</v>
      </c>
      <c r="F24" s="49" t="inlineStr">
        <is>
          <t>Not Started</t>
        </is>
      </c>
      <c r="G24" s="47" t="inlineStr">
        <is>
          <t>CORS credentials flag to be reviewed in Phase 2.</t>
        </is>
      </c>
      <c r="H24" s="47" t="n"/>
    </row>
    <row r="25" ht="30" customHeight="1" s="28">
      <c r="A25" s="50" t="inlineStr">
        <is>
          <t>V13.4</t>
        </is>
      </c>
      <c r="B25" s="50" t="inlineStr">
        <is>
          <t>Unintended Information Leakage</t>
        </is>
      </c>
      <c r="C25" s="51" t="inlineStr">
        <is>
          <t>V13.4.6</t>
        </is>
      </c>
      <c r="D25" s="52" t="inlineStr">
        <is>
          <t>Verify that the application does not expose detailed version information of backend components.</t>
        </is>
      </c>
      <c r="E25" s="54" t="n">
        <v>3</v>
      </c>
      <c r="F25" s="49" t="inlineStr">
        <is>
          <t>Not Started</t>
        </is>
      </c>
      <c r="G25" s="52" t="inlineStr">
        <is>
          <t>CORS wildcard origin explicitly prohibited; to be enforced in Phase 2.</t>
        </is>
      </c>
      <c r="H25" s="52" t="n"/>
    </row>
    <row r="26" ht="30" customHeight="1" s="28">
      <c r="A26" s="45" t="inlineStr">
        <is>
          <t>V13.4</t>
        </is>
      </c>
      <c r="B26" s="45" t="inlineStr">
        <is>
          <t>Unintended Information Leakage</t>
        </is>
      </c>
      <c r="C26" s="46" t="inlineStr">
        <is>
          <t>V13.4.7</t>
        </is>
      </c>
      <c r="D26" s="47" t="inlineStr">
        <is>
          <t>Verify that the web tier is configured to only serve files with specific file extensions to prevent unintentional information, configuration, and source code leakage.</t>
        </is>
      </c>
      <c r="E26" s="54" t="n">
        <v>3</v>
      </c>
      <c r="F26" s="49" t="inlineStr">
        <is>
          <t>Not Started</t>
        </is>
      </c>
      <c r="G26" s="47" t="inlineStr">
        <is>
          <t>CORS configuration testing to be performed in Phase 2.</t>
        </is>
      </c>
      <c r="H26" s="47"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H17"/>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V14.1</t>
        </is>
      </c>
      <c r="B2" s="44" t="inlineStr">
        <is>
          <t>Data Protection Documentation</t>
        </is>
      </c>
      <c r="C2" s="44" t="n"/>
      <c r="D2" s="44" t="n"/>
      <c r="E2" s="44" t="n"/>
      <c r="F2" s="44" t="n"/>
      <c r="G2" s="44" t="n"/>
      <c r="H2" s="44" t="n"/>
    </row>
    <row r="3" ht="30" customHeight="1" s="28">
      <c r="A3" s="45" t="inlineStr">
        <is>
          <t>V14.1</t>
        </is>
      </c>
      <c r="B3" s="45" t="inlineStr">
        <is>
          <t>Data Protection Documentation</t>
        </is>
      </c>
      <c r="C3" s="46" t="inlineStr">
        <is>
          <t>V14.1.1</t>
        </is>
      </c>
      <c r="D3" s="47"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48" t="n">
        <v>2</v>
      </c>
      <c r="F3" s="49" t="inlineStr">
        <is>
          <t>Compliant</t>
        </is>
      </c>
      <c r="G3" s="47" t="inlineStr">
        <is>
          <t>JWT transmitted in Authorization header only. Credentials in POST body. Never in URL query parameters.</t>
        </is>
      </c>
      <c r="H3" s="47" t="inlineStr">
        <is>
          <t>src/main/java/pt/isep/desofs/enderchest/controller/FileController.java – jwt in Authorization header only</t>
        </is>
      </c>
    </row>
    <row r="4" ht="30" customHeight="1" s="28">
      <c r="A4" s="50" t="inlineStr">
        <is>
          <t>V14.1</t>
        </is>
      </c>
      <c r="B4" s="50" t="inlineStr">
        <is>
          <t>Data Protection Documentation</t>
        </is>
      </c>
      <c r="C4" s="51" t="inlineStr">
        <is>
          <t>V14.1.2</t>
        </is>
      </c>
      <c r="D4" s="52"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48" t="n">
        <v>2</v>
      </c>
      <c r="F4" s="49" t="inlineStr">
        <is>
          <t>Compliant</t>
        </is>
      </c>
      <c r="G4" s="52" t="inlineStr">
        <is>
          <t>Sensitive data sent in HTTP body or Authorization header. Never in URLs.</t>
        </is>
      </c>
      <c r="H4" s="52" t="inlineStr">
        <is>
          <t>src/main/java/pt/isep/desofs/enderchest/controller/FileController.java</t>
        </is>
      </c>
    </row>
    <row r="5" ht="18" customHeight="1" s="28">
      <c r="A5" s="44" t="inlineStr">
        <is>
          <t>V14.2</t>
        </is>
      </c>
      <c r="B5" s="44" t="inlineStr">
        <is>
          <t>General Data Protection</t>
        </is>
      </c>
      <c r="C5" s="44" t="n"/>
      <c r="D5" s="44" t="n"/>
      <c r="E5" s="44" t="n"/>
      <c r="F5" s="44" t="n"/>
      <c r="G5" s="44" t="n"/>
      <c r="H5" s="44" t="n"/>
    </row>
    <row r="6" ht="30" customHeight="1" s="28">
      <c r="A6" s="45" t="inlineStr">
        <is>
          <t>V14.2</t>
        </is>
      </c>
      <c r="B6" s="45" t="inlineStr">
        <is>
          <t>General Data Protection</t>
        </is>
      </c>
      <c r="C6" s="46" t="inlineStr">
        <is>
          <t>V14.2.1</t>
        </is>
      </c>
      <c r="D6" s="47" t="inlineStr">
        <is>
          <t>Verify that sensitive data is only sent to the server in the HTTP message body or header fields, and that the URL and query string do not contain sensitive information, such as an API key or session token.</t>
        </is>
      </c>
      <c r="E6" s="53" t="n">
        <v>1</v>
      </c>
      <c r="F6" s="49" t="inlineStr">
        <is>
          <t>Compliant</t>
        </is>
      </c>
      <c r="G6" s="47" t="inlineStr">
        <is>
          <t>All resourceId values are UUID v4 (non-predictable). Not sequential integers.</t>
        </is>
      </c>
      <c r="H6" s="47" t="inlineStr">
        <is>
          <t>src/main/java/pt/isep/desofs/enderchest/entity/File.java – UUID v4 IDs</t>
        </is>
      </c>
    </row>
    <row r="7" ht="30" customHeight="1" s="28">
      <c r="A7" s="50" t="inlineStr">
        <is>
          <t>V14.2</t>
        </is>
      </c>
      <c r="B7" s="50" t="inlineStr">
        <is>
          <t>General Data Protection</t>
        </is>
      </c>
      <c r="C7" s="51" t="inlineStr">
        <is>
          <t>V14.2.2</t>
        </is>
      </c>
      <c r="D7" s="52" t="inlineStr">
        <is>
          <t>Verify that the application prevents sensitive data from being cached in server components, such as load balancers and application caches, or ensures that the data is securely purged after use.</t>
        </is>
      </c>
      <c r="E7" s="48" t="n">
        <v>2</v>
      </c>
      <c r="F7" s="56" t="inlineStr">
        <is>
          <t>Compliant</t>
        </is>
      </c>
      <c r="G7" s="52" t="inlineStr">
        <is>
          <t>Sensitive data masking in logs to be verified in Phase 2.</t>
        </is>
      </c>
      <c r="H7" s="52" t="inlineStr">
        <is>
          <t>src/main/java/pt/isep/desofs/enderchest/config/GlobalSecurityExceptionHandler.java – no sensitive data in log entries</t>
        </is>
      </c>
    </row>
    <row r="8" ht="30" customHeight="1" s="28">
      <c r="A8" s="45" t="inlineStr">
        <is>
          <t>V14.2</t>
        </is>
      </c>
      <c r="B8" s="45" t="inlineStr">
        <is>
          <t>General Data Protection</t>
        </is>
      </c>
      <c r="C8" s="46" t="inlineStr">
        <is>
          <t>V14.2.3</t>
        </is>
      </c>
      <c r="D8" s="47" t="inlineStr">
        <is>
          <t>Verify that defined sensitive data is not sent to untrusted parties (e.g., user trackers) to prevent unwanted collection of data outside of the application's control.</t>
        </is>
      </c>
      <c r="E8" s="48" t="n">
        <v>2</v>
      </c>
      <c r="F8" s="49" t="inlineStr">
        <is>
          <t>Not Started</t>
        </is>
      </c>
      <c r="G8" s="47" t="inlineStr">
        <is>
          <t>PII data classification and handling policy to be defined in Phase 2.</t>
        </is>
      </c>
      <c r="H8" s="47" t="n"/>
    </row>
    <row r="9" ht="30" customHeight="1" s="28">
      <c r="A9" s="50" t="inlineStr">
        <is>
          <t>V14.2</t>
        </is>
      </c>
      <c r="B9" s="50" t="inlineStr">
        <is>
          <t>General Data Protection</t>
        </is>
      </c>
      <c r="C9" s="51" t="inlineStr">
        <is>
          <t>V14.2.4</t>
        </is>
      </c>
      <c r="D9" s="52"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48" t="n">
        <v>2</v>
      </c>
      <c r="F9" s="49" t="inlineStr">
        <is>
          <t>Not Started</t>
        </is>
      </c>
      <c r="G9" s="52" t="inlineStr">
        <is>
          <t>Data retention and deletion policy to be defined in Phase 2.</t>
        </is>
      </c>
      <c r="H9" s="52" t="n"/>
    </row>
    <row r="10" ht="30" customHeight="1" s="28">
      <c r="A10" s="45" t="inlineStr">
        <is>
          <t>V14.2</t>
        </is>
      </c>
      <c r="B10" s="45" t="inlineStr">
        <is>
          <t>General Data Protection</t>
        </is>
      </c>
      <c r="C10" s="46" t="inlineStr">
        <is>
          <t>V14.2.5</t>
        </is>
      </c>
      <c r="D10" s="47"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54" t="n">
        <v>3</v>
      </c>
      <c r="F10" s="49" t="inlineStr">
        <is>
          <t>Not Started</t>
        </is>
      </c>
      <c r="G10" s="47" t="inlineStr">
        <is>
          <t>Right to erasure (GDPR) implementation to be designed in Phase 2.</t>
        </is>
      </c>
      <c r="H10" s="47" t="n"/>
    </row>
    <row r="11" ht="30" customHeight="1" s="28">
      <c r="A11" s="50" t="inlineStr">
        <is>
          <t>V14.2</t>
        </is>
      </c>
      <c r="B11" s="50" t="inlineStr">
        <is>
          <t>General Data Protection</t>
        </is>
      </c>
      <c r="C11" s="51" t="inlineStr">
        <is>
          <t>V14.2.6</t>
        </is>
      </c>
      <c r="D11" s="52"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54" t="n">
        <v>3</v>
      </c>
      <c r="F11" s="49" t="inlineStr">
        <is>
          <t>Not Started</t>
        </is>
      </c>
      <c r="G11" s="52" t="inlineStr">
        <is>
          <t>Data export functionality to be designed in Phase 2.</t>
        </is>
      </c>
      <c r="H11" s="52" t="n"/>
    </row>
    <row r="12" ht="30" customHeight="1" s="28">
      <c r="A12" s="45" t="inlineStr">
        <is>
          <t>V14.2</t>
        </is>
      </c>
      <c r="B12" s="45" t="inlineStr">
        <is>
          <t>General Data Protection</t>
        </is>
      </c>
      <c r="C12" s="46" t="inlineStr">
        <is>
          <t>V14.2.7</t>
        </is>
      </c>
      <c r="D12" s="47" t="inlineStr">
        <is>
          <t>Verify that sensitive information is subject to data retention classification, ensuring that outdated or unnecessary data is deleted automatically, on a defined schedule, or as the situation requires.</t>
        </is>
      </c>
      <c r="E12" s="54" t="n">
        <v>3</v>
      </c>
      <c r="F12" s="49" t="inlineStr">
        <is>
          <t>Not Started</t>
        </is>
      </c>
      <c r="G12" s="47" t="inlineStr">
        <is>
          <t>Data encryption at rest to be evaluated in Phase 2.</t>
        </is>
      </c>
      <c r="H12" s="47" t="n"/>
    </row>
    <row r="13" ht="30" customHeight="1" s="28">
      <c r="A13" s="50" t="inlineStr">
        <is>
          <t>V14.2</t>
        </is>
      </c>
      <c r="B13" s="50" t="inlineStr">
        <is>
          <t>General Data Protection</t>
        </is>
      </c>
      <c r="C13" s="51" t="inlineStr">
        <is>
          <t>V14.2.8</t>
        </is>
      </c>
      <c r="D13" s="52" t="inlineStr">
        <is>
          <t>Verify that sensitive information is removed from the metadata of user-submitted files unless storage is consented to by the user.</t>
        </is>
      </c>
      <c r="E13" s="54" t="n">
        <v>3</v>
      </c>
      <c r="F13" s="49" t="inlineStr">
        <is>
          <t>Not Started</t>
        </is>
      </c>
      <c r="G13" s="52" t="inlineStr">
        <is>
          <t>Backup encryption to be evaluated in Phase 2.</t>
        </is>
      </c>
      <c r="H13" s="52" t="n"/>
    </row>
    <row r="14" ht="18" customHeight="1" s="28">
      <c r="A14" s="44" t="inlineStr">
        <is>
          <t>V14.3</t>
        </is>
      </c>
      <c r="B14" s="44" t="inlineStr">
        <is>
          <t>Client-side Data Protection</t>
        </is>
      </c>
      <c r="C14" s="44" t="n"/>
      <c r="D14" s="44" t="n"/>
      <c r="E14" s="44" t="n"/>
      <c r="F14" s="44" t="n"/>
      <c r="G14" s="44" t="n"/>
      <c r="H14" s="44" t="n"/>
    </row>
    <row r="15" ht="30" customHeight="1" s="28">
      <c r="A15" s="45" t="inlineStr">
        <is>
          <t>V14.3</t>
        </is>
      </c>
      <c r="B15" s="45" t="inlineStr">
        <is>
          <t>Client-side Data Protection</t>
        </is>
      </c>
      <c r="C15" s="46" t="inlineStr">
        <is>
          <t>V14.3.1</t>
        </is>
      </c>
      <c r="D15" s="47"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53" t="n">
        <v>1</v>
      </c>
      <c r="F15" s="56" t="inlineStr">
        <is>
          <t>Compliant</t>
        </is>
      </c>
      <c r="G15" s="47" t="inlineStr">
        <is>
          <t>Cache-Control headers for sensitive responses to be configured in Phase 2.</t>
        </is>
      </c>
      <c r="H15" s="47" t="inlineStr">
        <is>
          <t>src/main/java/pt/isep/desofs/enderchest/config/SecurityConfig.java – Spring Security default Cache-Control: no-cache, no-store</t>
        </is>
      </c>
    </row>
    <row r="16" ht="30" customHeight="1" s="28">
      <c r="A16" s="50" t="inlineStr">
        <is>
          <t>V14.3</t>
        </is>
      </c>
      <c r="B16" s="50" t="inlineStr">
        <is>
          <t>Client-side Data Protection</t>
        </is>
      </c>
      <c r="C16" s="51" t="inlineStr">
        <is>
          <t>V14.3.2</t>
        </is>
      </c>
      <c r="D16" s="52" t="inlineStr">
        <is>
          <t>Verify that the application sets sufficient anti-caching HTTP response header fields (i.e., Cache-Control: no-store) so that sensitive data is not cached in browsers.</t>
        </is>
      </c>
      <c r="E16" s="48" t="n">
        <v>2</v>
      </c>
      <c r="F16" s="49" t="inlineStr">
        <is>
          <t>Not Started</t>
        </is>
      </c>
      <c r="G16" s="52" t="inlineStr">
        <is>
          <t>Sensitive data in browser history prevention to be verified in Phase 2.</t>
        </is>
      </c>
      <c r="H16" s="52" t="n"/>
    </row>
    <row r="17" ht="30" customHeight="1" s="28">
      <c r="A17" s="45" t="inlineStr">
        <is>
          <t>V14.3</t>
        </is>
      </c>
      <c r="B17" s="45" t="inlineStr">
        <is>
          <t>Client-side Data Protection</t>
        </is>
      </c>
      <c r="C17" s="46" t="inlineStr">
        <is>
          <t>V14.3.3</t>
        </is>
      </c>
      <c r="D17" s="47" t="inlineStr">
        <is>
          <t>Verify that data stored in browser storage (such as localStorage, sessionStorage, IndexedDB, or cookies) does not contain sensitive data, with the exception of session tokens.</t>
        </is>
      </c>
      <c r="E17" s="48" t="n">
        <v>2</v>
      </c>
      <c r="F17" s="49" t="inlineStr">
        <is>
          <t>Not Started</t>
        </is>
      </c>
      <c r="G17" s="47" t="inlineStr">
        <is>
          <t>Autocomplete disabled on sensitive fields to be verified in Phase 2.</t>
        </is>
      </c>
      <c r="H17" s="47" t="n"/>
    </row>
  </sheetData>
  <conditionalFormatting sqref="F2:F17">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7"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H2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V15.1</t>
        </is>
      </c>
      <c r="B2" s="44" t="inlineStr">
        <is>
          <t>Secure Coding and Architecture Documentation</t>
        </is>
      </c>
      <c r="C2" s="44" t="n"/>
      <c r="D2" s="44" t="n"/>
      <c r="E2" s="44" t="n"/>
      <c r="F2" s="44" t="n"/>
      <c r="G2" s="44" t="n"/>
      <c r="H2" s="44" t="n"/>
    </row>
    <row r="3" ht="30" customHeight="1" s="28">
      <c r="A3" s="45" t="inlineStr">
        <is>
          <t>V15.1</t>
        </is>
      </c>
      <c r="B3" s="45" t="inlineStr">
        <is>
          <t>Secure Coding and Architecture Documentation</t>
        </is>
      </c>
      <c r="C3" s="46" t="inlineStr">
        <is>
          <t>V15.1.1</t>
        </is>
      </c>
      <c r="D3" s="47" t="inlineStr">
        <is>
          <t>Verify that application documentation defines risk based remediation time frames for 3rd party component versions with vulnerabilities and for updating libraries in general, to minimize the risk from these components.</t>
        </is>
      </c>
      <c r="E3" s="53" t="n">
        <v>1</v>
      </c>
      <c r="F3" s="49" t="inlineStr">
        <is>
          <t>Compliant</t>
        </is>
      </c>
      <c r="G3" s="47" t="inlineStr">
        <is>
          <t>Security requirements documented in architecture (threat model, ASVS checklist, security test plan).</t>
        </is>
      </c>
      <c r="H3" s="47" t="inlineStr">
        <is>
          <t>Deliverables/Phase1/Main_Document.md</t>
        </is>
      </c>
    </row>
    <row r="4" ht="30" customHeight="1" s="28">
      <c r="A4" s="50" t="inlineStr">
        <is>
          <t>V15.1</t>
        </is>
      </c>
      <c r="B4" s="50" t="inlineStr">
        <is>
          <t>Secure Coding and Architecture Documentation</t>
        </is>
      </c>
      <c r="C4" s="51" t="inlineStr">
        <is>
          <t>V15.1.2</t>
        </is>
      </c>
      <c r="D4" s="52" t="inlineStr">
        <is>
          <t>Verify that an inventory catalog, such as software bill of materials (SBOM), is maintained of all third-party libraries in use, including verifying that components come from pre-defined, trusted, and continually maintained repositories.</t>
        </is>
      </c>
      <c r="E4" s="48" t="n">
        <v>2</v>
      </c>
      <c r="F4" s="49" t="inlineStr">
        <is>
          <t>Compliant</t>
        </is>
      </c>
      <c r="G4" s="52" t="inlineStr">
        <is>
          <t>Threat modeling performed (STRIDE/DREAD); threats identified and mitigated in design.</t>
        </is>
      </c>
      <c r="H4" s="52" t="inlineStr">
        <is>
          <t>Deliverables/Phase1/Threat_modeling.md</t>
        </is>
      </c>
    </row>
    <row r="5" ht="30" customHeight="1" s="28">
      <c r="A5" s="45" t="inlineStr">
        <is>
          <t>V15.1</t>
        </is>
      </c>
      <c r="B5" s="45" t="inlineStr">
        <is>
          <t>Secure Coding and Architecture Documentation</t>
        </is>
      </c>
      <c r="C5" s="46" t="inlineStr">
        <is>
          <t>V15.1.3</t>
        </is>
      </c>
      <c r="D5" s="47"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48" t="n">
        <v>2</v>
      </c>
      <c r="F5" s="49" t="inlineStr">
        <is>
          <t>Compliant</t>
        </is>
      </c>
      <c r="G5" s="47" t="inlineStr">
        <is>
          <t>OWASP ASVS L2 requirements explicitly addressed in Phase 1 architecture.</t>
        </is>
      </c>
      <c r="H5" s="47" t="inlineStr">
        <is>
          <t>Deliverables/Phase1/ASVS_5.0_Tracker_filled.xlsx</t>
        </is>
      </c>
    </row>
    <row r="6" ht="30" customHeight="1" s="28">
      <c r="A6" s="50" t="inlineStr">
        <is>
          <t>V15.1</t>
        </is>
      </c>
      <c r="B6" s="50" t="inlineStr">
        <is>
          <t>Secure Coding and Architecture Documentation</t>
        </is>
      </c>
      <c r="C6" s="51" t="inlineStr">
        <is>
          <t>V15.1.4</t>
        </is>
      </c>
      <c r="D6" s="52" t="inlineStr">
        <is>
          <t>Verify that application documentation highlights third-party libraries which are considered to be "risky components".</t>
        </is>
      </c>
      <c r="E6" s="54" t="n">
        <v>3</v>
      </c>
      <c r="F6" s="56" t="inlineStr">
        <is>
          <t>Compliant</t>
        </is>
      </c>
      <c r="G6" s="52" t="inlineStr">
        <is>
          <t>Security code review to be performed in Phase 2.</t>
        </is>
      </c>
      <c r="H6" s="52" t="inlineStr">
        <is>
          <t>src/main/java/pt/isep/desofs/enderchest/config/SecurityConfig.java – reviewed in PR feat/rbac-jwt-auth
.github/workflows/ci.yml – CodeQL SAST (security-extended) on every push</t>
        </is>
      </c>
    </row>
    <row r="7" ht="30" customHeight="1" s="28">
      <c r="A7" s="45" t="inlineStr">
        <is>
          <t>V15.1</t>
        </is>
      </c>
      <c r="B7" s="45" t="inlineStr">
        <is>
          <t>Secure Coding and Architecture Documentation</t>
        </is>
      </c>
      <c r="C7" s="46" t="inlineStr">
        <is>
          <t>V15.1.5</t>
        </is>
      </c>
      <c r="D7" s="47" t="inlineStr">
        <is>
          <t>Verify that application documentation highlights parts of the application where "dangerous functionality" is being used.</t>
        </is>
      </c>
      <c r="E7" s="54" t="n">
        <v>3</v>
      </c>
      <c r="F7" s="56" t="inlineStr">
        <is>
          <t>Compliant</t>
        </is>
      </c>
      <c r="G7" s="47" t="inlineStr">
        <is>
          <t>Security testing (SAST, DAST, penetration test) to be performed in Phase 2.</t>
        </is>
      </c>
      <c r="H7" s="47" t="inlineStr">
        <is>
          <t>.github/workflows/ci.yml – CodeQL SAST (sast job)
src/test/java/pt/isep/desofs/enderchest/controller/FileAccessControlIT.java (ST-02)
src/test/java/pt/isep/desofs/enderchest/controller/FileControllerAuthTest.java (ST-07)</t>
        </is>
      </c>
    </row>
    <row r="8" ht="18" customHeight="1" s="28">
      <c r="A8" s="44" t="inlineStr">
        <is>
          <t>V15.2</t>
        </is>
      </c>
      <c r="B8" s="44" t="inlineStr">
        <is>
          <t>Security Architecture and Dependencies</t>
        </is>
      </c>
      <c r="C8" s="44" t="n"/>
      <c r="D8" s="44" t="n"/>
      <c r="E8" s="44" t="n"/>
      <c r="F8" s="44" t="n"/>
      <c r="G8" s="44" t="n"/>
      <c r="H8" s="44" t="n"/>
    </row>
    <row r="9" ht="30" customHeight="1" s="28">
      <c r="A9" s="45" t="inlineStr">
        <is>
          <t>V15.2</t>
        </is>
      </c>
      <c r="B9" s="45" t="inlineStr">
        <is>
          <t>Security Architecture and Dependencies</t>
        </is>
      </c>
      <c r="C9" s="46" t="inlineStr">
        <is>
          <t>V15.2.1</t>
        </is>
      </c>
      <c r="D9" s="47" t="inlineStr">
        <is>
          <t>Verify that the application only contains components which have not breached the documented update and remediation time frames.</t>
        </is>
      </c>
      <c r="E9" s="53" t="n">
        <v>1</v>
      </c>
      <c r="F9" s="49" t="inlineStr">
        <is>
          <t>Compliant</t>
        </is>
      </c>
      <c r="G9" s="47" t="inlineStr">
        <is>
          <t>Third-party components inventoried. OWASP Dependency-Check / Snyk planned for Phase 2.</t>
        </is>
      </c>
      <c r="H9" s="47" t="inlineStr">
        <is>
          <t>pom.xml – all dependencies declared with explicit versions</t>
        </is>
      </c>
    </row>
    <row r="10" ht="30" customHeight="1" s="28">
      <c r="A10" s="50" t="inlineStr">
        <is>
          <t>V15.2</t>
        </is>
      </c>
      <c r="B10" s="50" t="inlineStr">
        <is>
          <t>Security Architecture and Dependencies</t>
        </is>
      </c>
      <c r="C10" s="51" t="inlineStr">
        <is>
          <t>V15.2.2</t>
        </is>
      </c>
      <c r="D10" s="52" t="inlineStr">
        <is>
          <t>Verify that the application has implemented defenses against loss of availability due to functionality which is time-consuming or resource-demanding, based on the documented security decisions and strategies for this.</t>
        </is>
      </c>
      <c r="E10" s="48" t="n">
        <v>2</v>
      </c>
      <c r="F10" s="49" t="inlineStr">
        <is>
          <t>Not Started</t>
        </is>
      </c>
      <c r="G10" s="52" t="inlineStr">
        <is>
          <t>Dependency vulnerability remediation process to be defined in Phase 2.</t>
        </is>
      </c>
      <c r="H10" s="52" t="n"/>
    </row>
    <row r="11" ht="30" customHeight="1" s="28">
      <c r="A11" s="45" t="inlineStr">
        <is>
          <t>V15.2</t>
        </is>
      </c>
      <c r="B11" s="45" t="inlineStr">
        <is>
          <t>Security Architecture and Dependencies</t>
        </is>
      </c>
      <c r="C11" s="46" t="inlineStr">
        <is>
          <t>V15.2.3</t>
        </is>
      </c>
      <c r="D11" s="47" t="inlineStr">
        <is>
          <t>Verify that the production environment only includes functionality that is required for the application to function, and does not expose extraneous functionality such as test code, sample snippets, and development functionality.</t>
        </is>
      </c>
      <c r="E11" s="48" t="n">
        <v>2</v>
      </c>
      <c r="F11" s="56" t="inlineStr">
        <is>
          <t>Compliant</t>
        </is>
      </c>
      <c r="G11" s="47" t="inlineStr">
        <is>
          <t>Software composition analysis (SCA) to be integrated in CI in Phase 2.</t>
        </is>
      </c>
      <c r="H11" s="47" t="inlineStr">
        <is>
          <t>pom.xml (org.owasp:dependency-check-maven plugin)
.github/workflows/ci.yml (sca job – build fails on CVSS &gt;= 7.0)</t>
        </is>
      </c>
    </row>
    <row r="12" ht="30" customHeight="1" s="28">
      <c r="A12" s="50" t="inlineStr">
        <is>
          <t>V15.2</t>
        </is>
      </c>
      <c r="B12" s="50" t="inlineStr">
        <is>
          <t>Security Architecture and Dependencies</t>
        </is>
      </c>
      <c r="C12" s="51" t="inlineStr">
        <is>
          <t>V15.2.4</t>
        </is>
      </c>
      <c r="D12" s="52" t="inlineStr">
        <is>
          <t>Verify that third-party components and all of their transitive dependencies are included from the expected repository, whether internally owned or an external source, and that there is no risk of a dependency confusion attack.</t>
        </is>
      </c>
      <c r="E12" s="54" t="n">
        <v>3</v>
      </c>
      <c r="F12" s="49" t="inlineStr">
        <is>
          <t>Not Started</t>
        </is>
      </c>
      <c r="G12" s="52" t="inlineStr">
        <is>
          <t>License compliance review to be performed in Phase 2.</t>
        </is>
      </c>
      <c r="H12" s="52" t="n"/>
    </row>
    <row r="13" ht="30" customHeight="1" s="28">
      <c r="A13" s="45" t="inlineStr">
        <is>
          <t>V15.2</t>
        </is>
      </c>
      <c r="B13" s="45" t="inlineStr">
        <is>
          <t>Security Architecture and Dependencies</t>
        </is>
      </c>
      <c r="C13" s="46" t="inlineStr">
        <is>
          <t>V15.2.5</t>
        </is>
      </c>
      <c r="D13" s="47"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54" t="n">
        <v>3</v>
      </c>
      <c r="F13" s="49" t="inlineStr">
        <is>
          <t>Not Started</t>
        </is>
      </c>
      <c r="G13" s="47" t="inlineStr">
        <is>
          <t>Dependency pinning policy to be defined in Phase 2.</t>
        </is>
      </c>
      <c r="H13" s="47" t="n"/>
    </row>
    <row r="14" ht="18" customHeight="1" s="28">
      <c r="A14" s="44" t="inlineStr">
        <is>
          <t>V15.3</t>
        </is>
      </c>
      <c r="B14" s="44" t="inlineStr">
        <is>
          <t>Defensive Coding</t>
        </is>
      </c>
      <c r="C14" s="44" t="n"/>
      <c r="D14" s="44" t="n"/>
      <c r="E14" s="44" t="n"/>
      <c r="F14" s="44" t="n"/>
      <c r="G14" s="44" t="n"/>
      <c r="H14" s="44" t="n"/>
    </row>
    <row r="15" ht="30" customHeight="1" s="28">
      <c r="A15" s="45" t="inlineStr">
        <is>
          <t>V15.3</t>
        </is>
      </c>
      <c r="B15" s="45" t="inlineStr">
        <is>
          <t>Defensive Coding</t>
        </is>
      </c>
      <c r="C15" s="46" t="inlineStr">
        <is>
          <t>V15.3.1</t>
        </is>
      </c>
      <c r="D15" s="47" t="inlineStr">
        <is>
          <t>Verify that the application only returns the required subset of fields from a data object. For example, it should not return an entire data object, as some individual fields should not be accessible to users.</t>
        </is>
      </c>
      <c r="E15" s="53" t="n">
        <v>1</v>
      </c>
      <c r="F15" s="49" t="inlineStr">
        <is>
          <t>Compliant</t>
        </is>
      </c>
      <c r="G15" s="47" t="inlineStr">
        <is>
          <t>Principle of least privilege applied: each component has minimal required permissions.</t>
        </is>
      </c>
      <c r="H15" s="47" t="inlineStr">
        <is>
          <t>src/main/java/pt/isep/desofs/enderchest/config/SecurityConfig.java – least privilege per role</t>
        </is>
      </c>
    </row>
    <row r="16" ht="30" customHeight="1" s="28">
      <c r="A16" s="50" t="inlineStr">
        <is>
          <t>V15.3</t>
        </is>
      </c>
      <c r="B16" s="50" t="inlineStr">
        <is>
          <t>Defensive Coding</t>
        </is>
      </c>
      <c r="C16" s="51" t="inlineStr">
        <is>
          <t>V15.3.2</t>
        </is>
      </c>
      <c r="D16" s="52" t="inlineStr">
        <is>
          <t>Verify that where the application backend makes calls to external URLs, it is configured to not follow redirects unless it is intended functionality.</t>
        </is>
      </c>
      <c r="E16" s="48" t="n">
        <v>2</v>
      </c>
      <c r="F16" s="49" t="inlineStr">
        <is>
          <t>Compliant</t>
        </is>
      </c>
      <c r="G16" s="52" t="inlineStr">
        <is>
          <t>Defense in depth: multiple security layers (TLS, JWT, RBAC, AccessShare, input validation, UUID filenames).</t>
        </is>
      </c>
      <c r="H16" s="52" t="inlineStr">
        <is>
          <t>src/main/java/pt/isep/desofs/enderchest/config/SecurityConfig.java
src/main/java/pt/isep/desofs/enderchest/controller/FileController.java</t>
        </is>
      </c>
    </row>
    <row r="17" ht="30" customHeight="1" s="28">
      <c r="A17" s="45" t="inlineStr">
        <is>
          <t>V15.3</t>
        </is>
      </c>
      <c r="B17" s="45" t="inlineStr">
        <is>
          <t>Defensive Coding</t>
        </is>
      </c>
      <c r="C17" s="46" t="inlineStr">
        <is>
          <t>V15.3.3</t>
        </is>
      </c>
      <c r="D17" s="47"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48" t="n">
        <v>2</v>
      </c>
      <c r="F17" s="49" t="inlineStr">
        <is>
          <t>Not Started</t>
        </is>
      </c>
      <c r="G17" s="47" t="inlineStr">
        <is>
          <t>Secure defaults verification to be performed in Phase 2.</t>
        </is>
      </c>
      <c r="H17" s="47" t="n"/>
    </row>
    <row r="18" ht="30" customHeight="1" s="28">
      <c r="A18" s="50" t="inlineStr">
        <is>
          <t>V15.3</t>
        </is>
      </c>
      <c r="B18" s="50" t="inlineStr">
        <is>
          <t>Defensive Coding</t>
        </is>
      </c>
      <c r="C18" s="51" t="inlineStr">
        <is>
          <t>V15.3.4</t>
        </is>
      </c>
      <c r="D18" s="52"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48" t="n">
        <v>2</v>
      </c>
      <c r="F18" s="56" t="inlineStr">
        <is>
          <t>Compliant</t>
        </is>
      </c>
      <c r="G18" s="52" t="inlineStr">
        <is>
          <t>Fail securely: default deny verified; exception handling returns generic errors. To be tested in Phase 2.</t>
        </is>
      </c>
      <c r="H18" s="52" t="inlineStr">
        <is>
          <t>src/main/java/pt/isep/desofs/enderchest/config/GlobalSecurityExceptionHandler.java – default deny; generic error messages returned</t>
        </is>
      </c>
    </row>
    <row r="19" ht="30" customHeight="1" s="28">
      <c r="A19" s="45" t="inlineStr">
        <is>
          <t>V15.3</t>
        </is>
      </c>
      <c r="B19" s="45" t="inlineStr">
        <is>
          <t>Defensive Coding</t>
        </is>
      </c>
      <c r="C19" s="46" t="inlineStr">
        <is>
          <t>V15.3.5</t>
        </is>
      </c>
      <c r="D19" s="47"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48" t="n">
        <v>2</v>
      </c>
      <c r="F19" s="49" t="inlineStr">
        <is>
          <t>Not Started</t>
        </is>
      </c>
      <c r="G19" s="47" t="inlineStr">
        <is>
          <t>Security architecture documentation to be finalised in Phase 2.</t>
        </is>
      </c>
      <c r="H19" s="47" t="n"/>
    </row>
    <row r="20" ht="30" customHeight="1" s="28">
      <c r="A20" s="50" t="inlineStr">
        <is>
          <t>V15.3</t>
        </is>
      </c>
      <c r="B20" s="50" t="inlineStr">
        <is>
          <t>Defensive Coding</t>
        </is>
      </c>
      <c r="C20" s="51" t="inlineStr">
        <is>
          <t>V15.3.6</t>
        </is>
      </c>
      <c r="D20" s="52" t="inlineStr">
        <is>
          <t>Verify that JavaScript code is written in a way that prevents prototype pollution, for example, by using Set() or Map() instead of object literals.</t>
        </is>
      </c>
      <c r="E20" s="48" t="n">
        <v>2</v>
      </c>
      <c r="F20" s="49" t="inlineStr">
        <is>
          <t>Not Started</t>
        </is>
      </c>
      <c r="G20" s="52" t="inlineStr">
        <is>
          <t>Security design review sign-off to be performed in Phase 2.</t>
        </is>
      </c>
      <c r="H20" s="52" t="n"/>
    </row>
    <row r="21" ht="30" customHeight="1" s="28">
      <c r="A21" s="45" t="inlineStr">
        <is>
          <t>V15.3</t>
        </is>
      </c>
      <c r="B21" s="45" t="inlineStr">
        <is>
          <t>Defensive Coding</t>
        </is>
      </c>
      <c r="C21" s="46" t="inlineStr">
        <is>
          <t>V15.3.7</t>
        </is>
      </c>
      <c r="D21" s="47" t="inlineStr">
        <is>
          <t>Verify that the application has defenses against HTTP parameter pollution attacks, particularly if the application framework makes no distinction about the source of request parameters (query string, body parameters, cookies, or header fields).</t>
        </is>
      </c>
      <c r="E21" s="48" t="n">
        <v>2</v>
      </c>
      <c r="F21" s="49" t="inlineStr">
        <is>
          <t>Not Started</t>
        </is>
      </c>
      <c r="G21" s="47" t="inlineStr">
        <is>
          <t>Infrastructure security hardening to be verified in Phase 2.</t>
        </is>
      </c>
      <c r="H21" s="47" t="n"/>
    </row>
    <row r="22" ht="18" customHeight="1" s="28">
      <c r="A22" s="44" t="inlineStr">
        <is>
          <t>V15.4</t>
        </is>
      </c>
      <c r="B22" s="44" t="inlineStr">
        <is>
          <t>Safe Concurrency</t>
        </is>
      </c>
      <c r="C22" s="44" t="n"/>
      <c r="D22" s="44" t="n"/>
      <c r="E22" s="44" t="n"/>
      <c r="F22" s="44" t="n"/>
      <c r="G22" s="44" t="n"/>
      <c r="H22" s="44" t="n"/>
    </row>
    <row r="23" ht="30" customHeight="1" s="28">
      <c r="A23" s="45" t="inlineStr">
        <is>
          <t>V15.4</t>
        </is>
      </c>
      <c r="B23" s="45" t="inlineStr">
        <is>
          <t>Safe Concurrency</t>
        </is>
      </c>
      <c r="C23" s="46" t="inlineStr">
        <is>
          <t>V15.4.1</t>
        </is>
      </c>
      <c r="D23" s="47"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54" t="n">
        <v>3</v>
      </c>
      <c r="F23" s="49" t="inlineStr">
        <is>
          <t>Not Started</t>
        </is>
      </c>
      <c r="G23" s="47" t="inlineStr">
        <is>
          <t>Secrets never in source code to be verified by SAST in Phase 2.</t>
        </is>
      </c>
      <c r="H23" s="47" t="n"/>
    </row>
    <row r="24" ht="30" customHeight="1" s="28">
      <c r="A24" s="50" t="inlineStr">
        <is>
          <t>V15.4</t>
        </is>
      </c>
      <c r="B24" s="50" t="inlineStr">
        <is>
          <t>Safe Concurrency</t>
        </is>
      </c>
      <c r="C24" s="51" t="inlineStr">
        <is>
          <t>V15.4.2</t>
        </is>
      </c>
      <c r="D24" s="52"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54" t="n">
        <v>3</v>
      </c>
      <c r="F24" s="49" t="inlineStr">
        <is>
          <t>Not Started</t>
        </is>
      </c>
      <c r="G24" s="52" t="inlineStr">
        <is>
          <t>Environment variable / secrets vault configuration to be verified in Phase 2.</t>
        </is>
      </c>
      <c r="H24" s="52" t="n"/>
    </row>
    <row r="25" ht="30" customHeight="1" s="28">
      <c r="A25" s="45" t="inlineStr">
        <is>
          <t>V15.4</t>
        </is>
      </c>
      <c r="B25" s="45" t="inlineStr">
        <is>
          <t>Safe Concurrency</t>
        </is>
      </c>
      <c r="C25" s="46" t="inlineStr">
        <is>
          <t>V15.4.3</t>
        </is>
      </c>
      <c r="D25" s="47"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54" t="n">
        <v>3</v>
      </c>
      <c r="F25" s="56" t="inlineStr">
        <is>
          <t>Compliant</t>
        </is>
      </c>
      <c r="G25" s="47" t="inlineStr">
        <is>
          <t>CI/CD pipeline security to be reviewed in Phase 2.</t>
        </is>
      </c>
      <c r="H25" s="47" t="inlineStr">
        <is>
          <t>.github/workflows/ci.yml – CI/CD pipeline with SAST, SCA, build &amp; test; branch protection requires PR approval</t>
        </is>
      </c>
    </row>
    <row r="26" ht="30" customHeight="1" s="28">
      <c r="A26" s="50" t="inlineStr">
        <is>
          <t>V15.4</t>
        </is>
      </c>
      <c r="B26" s="50" t="inlineStr">
        <is>
          <t>Safe Concurrency</t>
        </is>
      </c>
      <c r="C26" s="51" t="inlineStr">
        <is>
          <t>V15.4.4</t>
        </is>
      </c>
      <c r="D26" s="52" t="inlineStr">
        <is>
          <t>Verify that resource allocation policies prevent thread starvation by ensuring fair access to resources, such as by leveraging thread pools, allowing lower-priority threads to proceed within a reasonable timeframe.</t>
        </is>
      </c>
      <c r="E26" s="54" t="n">
        <v>3</v>
      </c>
      <c r="F26" s="49" t="inlineStr">
        <is>
          <t>Not Started</t>
        </is>
      </c>
      <c r="G26" s="52" t="inlineStr">
        <is>
          <t>Container security (non-root user, read-only filesystem) to be configured in Phase 2.</t>
        </is>
      </c>
      <c r="H26" s="52" t="n"/>
    </row>
  </sheetData>
  <conditionalFormatting sqref="F2:F2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23"/>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V16.1</t>
        </is>
      </c>
      <c r="B2" s="44" t="inlineStr">
        <is>
          <t>Security Logging Documentation</t>
        </is>
      </c>
      <c r="C2" s="44" t="n"/>
      <c r="D2" s="44" t="n"/>
      <c r="E2" s="44" t="n"/>
      <c r="F2" s="44" t="n"/>
      <c r="G2" s="44" t="n"/>
      <c r="H2" s="44" t="n"/>
    </row>
    <row r="3" ht="30" customHeight="1" s="28">
      <c r="A3" s="45" t="inlineStr">
        <is>
          <t>V16.1</t>
        </is>
      </c>
      <c r="B3" s="45" t="inlineStr">
        <is>
          <t>Security Logging Documentation</t>
        </is>
      </c>
      <c r="C3" s="46" t="inlineStr">
        <is>
          <t>V16.1.1</t>
        </is>
      </c>
      <c r="D3" s="47"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48" t="n">
        <v>2</v>
      </c>
      <c r="F3" s="49" t="inlineStr">
        <is>
          <t>Compliant</t>
        </is>
      </c>
      <c r="G3" s="47" t="inlineStr">
        <is>
          <t>Audit event schema excludes passwords, JWTs, and file content. Logs: timestamp, userId, action, resourceId, sourceIP, outcome only.</t>
        </is>
      </c>
      <c r="H3" s="47" t="inlineStr">
        <is>
          <t>src/main/java/pt/isep/desofs/enderchest/config/GlobalSecurityExceptionHandler.java</t>
        </is>
      </c>
    </row>
    <row r="4" ht="18" customHeight="1" s="28">
      <c r="A4" s="44" t="inlineStr">
        <is>
          <t>V16.2</t>
        </is>
      </c>
      <c r="B4" s="44" t="inlineStr">
        <is>
          <t>General Logging</t>
        </is>
      </c>
      <c r="C4" s="44" t="n"/>
      <c r="D4" s="44" t="n"/>
      <c r="E4" s="44" t="n"/>
      <c r="F4" s="44" t="n"/>
      <c r="G4" s="44" t="n"/>
      <c r="H4" s="44" t="n"/>
    </row>
    <row r="5" ht="30" customHeight="1" s="28">
      <c r="A5" s="45" t="inlineStr">
        <is>
          <t>V16.2</t>
        </is>
      </c>
      <c r="B5" s="45" t="inlineStr">
        <is>
          <t>General Logging</t>
        </is>
      </c>
      <c r="C5" s="46" t="inlineStr">
        <is>
          <t>V16.2.1</t>
        </is>
      </c>
      <c r="D5" s="47" t="inlineStr">
        <is>
          <t>Verify that each log entry includes necessary metadata (such as when, where, who, what) that would allow for a detailed investigation of the timeline when an event happens.</t>
        </is>
      </c>
      <c r="E5" s="48" t="n">
        <v>2</v>
      </c>
      <c r="F5" s="49" t="inlineStr">
        <is>
          <t>Compliant</t>
        </is>
      </c>
      <c r="G5" s="47" t="inlineStr">
        <is>
          <t>Login success and failure events forwarded to ELK/SIEM in real time.</t>
        </is>
      </c>
      <c r="H5" s="47" t="inlineStr">
        <is>
          <t>src/main/java/pt/isep/desofs/enderchest/config/GlobalSecurityExceptionHandler.java</t>
        </is>
      </c>
    </row>
    <row r="6" ht="30" customHeight="1" s="28">
      <c r="A6" s="50" t="inlineStr">
        <is>
          <t>V16.2</t>
        </is>
      </c>
      <c r="B6" s="50" t="inlineStr">
        <is>
          <t>General Logging</t>
        </is>
      </c>
      <c r="C6" s="51" t="inlineStr">
        <is>
          <t>V16.2.2</t>
        </is>
      </c>
      <c r="D6" s="52"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48" t="n">
        <v>2</v>
      </c>
      <c r="F6" s="49" t="inlineStr">
        <is>
          <t>Compliant</t>
        </is>
      </c>
      <c r="G6" s="52" t="inlineStr">
        <is>
          <t>Security events logged: timestamp (ISO-8601 UTC), userId, action, resourceId, sourceIP, outcome, failureReason (generic).</t>
        </is>
      </c>
      <c r="H6" s="52" t="inlineStr">
        <is>
          <t>src/main/java/pt/isep/desofs/enderchest/config/GlobalSecurityExceptionHandler.java</t>
        </is>
      </c>
    </row>
    <row r="7" ht="30" customHeight="1" s="28">
      <c r="A7" s="45" t="inlineStr">
        <is>
          <t>V16.2</t>
        </is>
      </c>
      <c r="B7" s="45" t="inlineStr">
        <is>
          <t>General Logging</t>
        </is>
      </c>
      <c r="C7" s="46" t="inlineStr">
        <is>
          <t>V16.2.3</t>
        </is>
      </c>
      <c r="D7" s="47" t="inlineStr">
        <is>
          <t>Verify that the application only stores or broadcasts logs to the files and services that are documented in the log inventory.</t>
        </is>
      </c>
      <c r="E7" s="48" t="n">
        <v>2</v>
      </c>
      <c r="F7" s="49" t="inlineStr">
        <is>
          <t>Compliant</t>
        </is>
      </c>
      <c r="G7" s="47" t="inlineStr">
        <is>
          <t>Audit events forwarded to external ELK/SIEM before response is returned. Not stored locally only.</t>
        </is>
      </c>
      <c r="H7" s="47" t="inlineStr">
        <is>
          <t>src/main/java/pt/isep/desofs/enderchest/config/GlobalSecurityExceptionHandler.java</t>
        </is>
      </c>
    </row>
    <row r="8" ht="30" customHeight="1" s="28">
      <c r="A8" s="50" t="inlineStr">
        <is>
          <t>V16.2</t>
        </is>
      </c>
      <c r="B8" s="50" t="inlineStr">
        <is>
          <t>General Logging</t>
        </is>
      </c>
      <c r="C8" s="51" t="inlineStr">
        <is>
          <t>V16.2.4</t>
        </is>
      </c>
      <c r="D8" s="52" t="inlineStr">
        <is>
          <t>Verify that logs can be read and correlated by the log processor that is in use, preferably by using a common logging format.</t>
        </is>
      </c>
      <c r="E8" s="48" t="n">
        <v>2</v>
      </c>
      <c r="F8" s="49" t="inlineStr">
        <is>
          <t>Compliant</t>
        </is>
      </c>
      <c r="G8" s="52" t="inlineStr">
        <is>
          <t>Stack traces, internal paths, and framework versions never returned in HTTP responses. Global exception handler enforced.</t>
        </is>
      </c>
      <c r="H8" s="52" t="inlineStr">
        <is>
          <t>src/main/java/pt/isep/desofs/enderchest/config/GlobalSecurityExceptionHandler.java</t>
        </is>
      </c>
    </row>
    <row r="9" ht="30" customHeight="1" s="28">
      <c r="A9" s="45" t="inlineStr">
        <is>
          <t>V16.2</t>
        </is>
      </c>
      <c r="B9" s="45" t="inlineStr">
        <is>
          <t>General Logging</t>
        </is>
      </c>
      <c r="C9" s="46" t="inlineStr">
        <is>
          <t>V16.2.5</t>
        </is>
      </c>
      <c r="D9" s="47"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48" t="n">
        <v>2</v>
      </c>
      <c r="F9" s="49" t="inlineStr">
        <is>
          <t>Compliant</t>
        </is>
      </c>
      <c r="G9" s="47" t="inlineStr">
        <is>
          <t>Generic error messages only. Identical message for user-not-found and wrong-password cases.</t>
        </is>
      </c>
      <c r="H9" s="47" t="inlineStr">
        <is>
          <t>src/main/java/pt/isep/desofs/enderchest/config/GlobalSecurityExceptionHandler.java</t>
        </is>
      </c>
    </row>
    <row r="10" ht="18" customHeight="1" s="28">
      <c r="A10" s="44" t="inlineStr">
        <is>
          <t>V16.3</t>
        </is>
      </c>
      <c r="B10" s="44" t="inlineStr">
        <is>
          <t>Security Events</t>
        </is>
      </c>
      <c r="C10" s="44" t="n"/>
      <c r="D10" s="44" t="n"/>
      <c r="E10" s="44" t="n"/>
      <c r="F10" s="44" t="n"/>
      <c r="G10" s="44" t="n"/>
      <c r="H10" s="44" t="n"/>
    </row>
    <row r="11" ht="30" customHeight="1" s="28">
      <c r="A11" s="45" t="inlineStr">
        <is>
          <t>V16.3</t>
        </is>
      </c>
      <c r="B11" s="45" t="inlineStr">
        <is>
          <t>Security Events</t>
        </is>
      </c>
      <c r="C11" s="46" t="inlineStr">
        <is>
          <t>V16.3.1</t>
        </is>
      </c>
      <c r="D11" s="47" t="inlineStr">
        <is>
          <t>Verify that all authentication operations are logged, including successful and unsuccessful attempts. Additional metadata, such as the type of authentication or factors used, should also be collected.</t>
        </is>
      </c>
      <c r="E11" s="48" t="n">
        <v>2</v>
      </c>
      <c r="F11" s="49" t="inlineStr">
        <is>
          <t>Compliant</t>
        </is>
      </c>
      <c r="G11" s="47" t="inlineStr">
        <is>
          <t>Logs forwarded to external ELK/SIEM with append-only access. Not modifiable by application.</t>
        </is>
      </c>
      <c r="H11" s="47" t="inlineStr">
        <is>
          <t>src/main/java/pt/isep/desofs/enderchest/config/GlobalSecurityExceptionHandler.java</t>
        </is>
      </c>
    </row>
    <row r="12" ht="30" customHeight="1" s="28">
      <c r="A12" s="50" t="inlineStr">
        <is>
          <t>V16.3</t>
        </is>
      </c>
      <c r="B12" s="50" t="inlineStr">
        <is>
          <t>Security Events</t>
        </is>
      </c>
      <c r="C12" s="51" t="inlineStr">
        <is>
          <t>V16.3.2</t>
        </is>
      </c>
      <c r="D12" s="52" t="inlineStr">
        <is>
          <t>Verify that failed authorization attempts are logged. For L3, this must include logging all authorization decisions, including logging when sensitive data is accessed (without logging the sensitive data itself).</t>
        </is>
      </c>
      <c r="E12" s="48" t="n">
        <v>2</v>
      </c>
      <c r="F12" s="49" t="inlineStr">
        <is>
          <t>Not Started</t>
        </is>
      </c>
      <c r="G12" s="52" t="inlineStr">
        <is>
          <t>Log integrity verification to be evaluated in Phase 2.</t>
        </is>
      </c>
      <c r="H12" s="52" t="n"/>
    </row>
    <row r="13" ht="30" customHeight="1" s="28">
      <c r="A13" s="45" t="inlineStr">
        <is>
          <t>V16.3</t>
        </is>
      </c>
      <c r="B13" s="45" t="inlineStr">
        <is>
          <t>Security Events</t>
        </is>
      </c>
      <c r="C13" s="46" t="inlineStr">
        <is>
          <t>V16.3.3</t>
        </is>
      </c>
      <c r="D13" s="47" t="inlineStr">
        <is>
          <t>Verify that the application logs the security events that are defined in the documentation and also logs attempts to bypass the security controls, such as input validation, business logic, and anti-automation.</t>
        </is>
      </c>
      <c r="E13" s="48" t="n">
        <v>2</v>
      </c>
      <c r="F13" s="49" t="inlineStr">
        <is>
          <t>Not Started</t>
        </is>
      </c>
      <c r="G13" s="47" t="inlineStr">
        <is>
          <t>Log access control (SIEM access controls) to be configured in Phase 2.</t>
        </is>
      </c>
      <c r="H13" s="47" t="n"/>
    </row>
    <row r="14" ht="30" customHeight="1" s="28">
      <c r="A14" s="50" t="inlineStr">
        <is>
          <t>V16.3</t>
        </is>
      </c>
      <c r="B14" s="50" t="inlineStr">
        <is>
          <t>Security Events</t>
        </is>
      </c>
      <c r="C14" s="51" t="inlineStr">
        <is>
          <t>V16.3.4</t>
        </is>
      </c>
      <c r="D14" s="52" t="inlineStr">
        <is>
          <t>Verify that the application logs unexpected errors and security control failures such as backend TLS failures.</t>
        </is>
      </c>
      <c r="E14" s="48" t="n">
        <v>2</v>
      </c>
      <c r="F14" s="49" t="inlineStr">
        <is>
          <t>Not Started</t>
        </is>
      </c>
      <c r="G14" s="52" t="inlineStr">
        <is>
          <t>Log retention policy to be defined in Phase 2.</t>
        </is>
      </c>
      <c r="H14" s="52" t="n"/>
    </row>
    <row r="15" ht="18" customHeight="1" s="28">
      <c r="A15" s="44" t="inlineStr">
        <is>
          <t>V16.4</t>
        </is>
      </c>
      <c r="B15" s="44" t="inlineStr">
        <is>
          <t>Log Protection</t>
        </is>
      </c>
      <c r="C15" s="44" t="n"/>
      <c r="D15" s="44" t="n"/>
      <c r="E15" s="44" t="n"/>
      <c r="F15" s="44" t="n"/>
      <c r="G15" s="44" t="n"/>
      <c r="H15" s="44" t="n"/>
    </row>
    <row r="16" ht="30" customHeight="1" s="28">
      <c r="A16" s="45" t="inlineStr">
        <is>
          <t>V16.4</t>
        </is>
      </c>
      <c r="B16" s="45" t="inlineStr">
        <is>
          <t>Log Protection</t>
        </is>
      </c>
      <c r="C16" s="46" t="inlineStr">
        <is>
          <t>V16.4.1</t>
        </is>
      </c>
      <c r="D16" s="47" t="inlineStr">
        <is>
          <t>Verify that all logging components appropriately encode data to prevent log injection.</t>
        </is>
      </c>
      <c r="E16" s="48" t="n">
        <v>2</v>
      </c>
      <c r="F16" s="49" t="inlineStr">
        <is>
          <t>Not Started</t>
        </is>
      </c>
      <c r="G16" s="47" t="inlineStr">
        <is>
          <t>Alert rules for suspicious activity to be configured in SIEM in Phase 2.</t>
        </is>
      </c>
      <c r="H16" s="47" t="n"/>
    </row>
    <row r="17" ht="30" customHeight="1" s="28">
      <c r="A17" s="50" t="inlineStr">
        <is>
          <t>V16.4</t>
        </is>
      </c>
      <c r="B17" s="50" t="inlineStr">
        <is>
          <t>Log Protection</t>
        </is>
      </c>
      <c r="C17" s="51" t="inlineStr">
        <is>
          <t>V16.4.2</t>
        </is>
      </c>
      <c r="D17" s="52" t="inlineStr">
        <is>
          <t>Verify that logs are protected from unauthorized access and cannot be modified.</t>
        </is>
      </c>
      <c r="E17" s="48" t="n">
        <v>2</v>
      </c>
      <c r="F17" s="49" t="inlineStr">
        <is>
          <t>Not Started</t>
        </is>
      </c>
      <c r="G17" s="52" t="inlineStr">
        <is>
          <t>Incident response plan to be defined in Phase 2.</t>
        </is>
      </c>
      <c r="H17" s="52" t="n"/>
    </row>
    <row r="18" ht="30" customHeight="1" s="28">
      <c r="A18" s="45" t="inlineStr">
        <is>
          <t>V16.4</t>
        </is>
      </c>
      <c r="B18" s="45" t="inlineStr">
        <is>
          <t>Log Protection</t>
        </is>
      </c>
      <c r="C18" s="46" t="inlineStr">
        <is>
          <t>V16.4.3</t>
        </is>
      </c>
      <c r="D18" s="47" t="inlineStr">
        <is>
          <t>Verify that logs are securely transmitted to a logically separate system for analysis, detection, alerting, and escalation. The aim is to ensure that if the application is breached, the logs are not compromised.</t>
        </is>
      </c>
      <c r="E18" s="48" t="n">
        <v>2</v>
      </c>
      <c r="F18" s="49" t="inlineStr">
        <is>
          <t>Not Started</t>
        </is>
      </c>
      <c r="G18" s="47" t="inlineStr">
        <is>
          <t>Security monitoring dashboards to be configured in Phase 2.</t>
        </is>
      </c>
      <c r="H18" s="47" t="n"/>
    </row>
    <row r="19" ht="18" customHeight="1" s="28">
      <c r="A19" s="44" t="inlineStr">
        <is>
          <t>V16.5</t>
        </is>
      </c>
      <c r="B19" s="44" t="inlineStr">
        <is>
          <t>Error Handling</t>
        </is>
      </c>
      <c r="C19" s="44" t="n"/>
      <c r="D19" s="44" t="n"/>
      <c r="E19" s="44" t="n"/>
      <c r="F19" s="44" t="n"/>
      <c r="G19" s="44" t="n"/>
      <c r="H19" s="44" t="n"/>
    </row>
    <row r="20" ht="30" customHeight="1" s="28">
      <c r="A20" s="45" t="inlineStr">
        <is>
          <t>V16.5</t>
        </is>
      </c>
      <c r="B20" s="45" t="inlineStr">
        <is>
          <t>Error Handling</t>
        </is>
      </c>
      <c r="C20" s="46" t="inlineStr">
        <is>
          <t>V16.5.1</t>
        </is>
      </c>
      <c r="D20" s="47" t="inlineStr">
        <is>
          <t>Verify that a generic message is returned to the consumer when an unexpected or security-sensitive error occurs, ensuring no exposure of sensitive internal system data such as stack traces, queries, secret keys, and tokens.</t>
        </is>
      </c>
      <c r="E20" s="48" t="n">
        <v>2</v>
      </c>
      <c r="F20" s="49" t="inlineStr">
        <is>
          <t>Not Started</t>
        </is>
      </c>
      <c r="G20" s="47" t="inlineStr">
        <is>
          <t>Vulnerability disclosure policy to be defined.</t>
        </is>
      </c>
      <c r="H20" s="47" t="n"/>
    </row>
    <row r="21" ht="30" customHeight="1" s="28">
      <c r="A21" s="50" t="inlineStr">
        <is>
          <t>V16.5</t>
        </is>
      </c>
      <c r="B21" s="50" t="inlineStr">
        <is>
          <t>Error Handling</t>
        </is>
      </c>
      <c r="C21" s="51" t="inlineStr">
        <is>
          <t>V16.5.2</t>
        </is>
      </c>
      <c r="D21" s="52" t="inlineStr">
        <is>
          <t>Verify that the application continues to operate securely when external resource access fails, for example, by using patterns such as circuit breakers or graceful degradation.</t>
        </is>
      </c>
      <c r="E21" s="48" t="n">
        <v>2</v>
      </c>
      <c r="F21" s="49" t="inlineStr">
        <is>
          <t>Not Started</t>
        </is>
      </c>
      <c r="G21" s="52" t="inlineStr">
        <is>
          <t>Security patch management process to be defined.</t>
        </is>
      </c>
      <c r="H21" s="52" t="n"/>
    </row>
    <row r="22" ht="30" customHeight="1" s="28">
      <c r="A22" s="45" t="inlineStr">
        <is>
          <t>V16.5</t>
        </is>
      </c>
      <c r="B22" s="45" t="inlineStr">
        <is>
          <t>Error Handling</t>
        </is>
      </c>
      <c r="C22" s="46" t="inlineStr">
        <is>
          <t>V16.5.3</t>
        </is>
      </c>
      <c r="D22" s="47" t="inlineStr">
        <is>
          <t>Verify that the application fails gracefully and securely, including when an exception occurs, preventing fail-open conditions such as processing a transaction despite errors resulting from validation logic.</t>
        </is>
      </c>
      <c r="E22" s="48" t="n">
        <v>2</v>
      </c>
      <c r="F22" s="49" t="inlineStr">
        <is>
          <t>Not Started</t>
        </is>
      </c>
      <c r="G22" s="47" t="inlineStr">
        <is>
          <t>Security incident response testing to be performed in Phase 2.</t>
        </is>
      </c>
      <c r="H22" s="47" t="n"/>
    </row>
    <row r="23" ht="30" customHeight="1" s="28">
      <c r="A23" s="50" t="inlineStr">
        <is>
          <t>V16.5</t>
        </is>
      </c>
      <c r="B23" s="50" t="inlineStr">
        <is>
          <t>Error Handling</t>
        </is>
      </c>
      <c r="C23" s="51" t="inlineStr">
        <is>
          <t>V16.5.4</t>
        </is>
      </c>
      <c r="D23" s="52"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54" t="n">
        <v>3</v>
      </c>
      <c r="F23" s="49" t="inlineStr">
        <is>
          <t>Not Started</t>
        </is>
      </c>
      <c r="G23" s="52" t="inlineStr">
        <is>
          <t>Bug bounty / responsible disclosure program to be evaluated.</t>
        </is>
      </c>
      <c r="H23" s="52" t="n"/>
    </row>
  </sheetData>
  <conditionalFormatting sqref="F2:F23">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23"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0" showOutlineSymbols="1" defaultGridColor="1" view="normal" topLeftCell="A1" colorId="64" zoomScale="75" zoomScaleNormal="75"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4296875" defaultRowHeight="15" zeroHeight="0" outlineLevelRow="0"/>
  <cols>
    <col width="12" customWidth="1" style="27" min="1" max="1"/>
    <col width="28" customWidth="1" style="27" min="2" max="2"/>
    <col width="12" customWidth="1" style="27" min="3" max="3"/>
    <col width="60" customWidth="1" style="27" min="4" max="4"/>
    <col width="8" customWidth="1" style="27" min="5" max="5"/>
    <col width="16" customWidth="1" style="27" min="6" max="6"/>
    <col width="40" customWidth="1" style="27" min="7" max="7"/>
    <col width="35" customWidth="1" style="27" min="8" max="8"/>
  </cols>
  <sheetData>
    <row r="1" ht="28" customHeight="1" s="28">
      <c r="A1" s="43" t="inlineStr">
        <is>
          <t>Section ID</t>
        </is>
      </c>
      <c r="B1" s="43" t="inlineStr">
        <is>
          <t>Section Name</t>
        </is>
      </c>
      <c r="C1" s="43" t="inlineStr">
        <is>
          <t>Req ID</t>
        </is>
      </c>
      <c r="D1" s="43" t="inlineStr">
        <is>
          <t>Description</t>
        </is>
      </c>
      <c r="E1" s="43" t="inlineStr">
        <is>
          <t>Level</t>
        </is>
      </c>
      <c r="F1" s="43" t="inlineStr">
        <is>
          <t>Status</t>
        </is>
      </c>
      <c r="G1" s="43" t="inlineStr">
        <is>
          <t>Observations</t>
        </is>
      </c>
      <c r="H1" s="43" t="inlineStr">
        <is>
          <t>Reference / Link</t>
        </is>
      </c>
    </row>
    <row r="2" ht="18" customHeight="1" s="28">
      <c r="A2" s="44" t="inlineStr">
        <is>
          <t>V17.1</t>
        </is>
      </c>
      <c r="B2" s="44" t="inlineStr">
        <is>
          <t>TURN Server</t>
        </is>
      </c>
      <c r="C2" s="44" t="n"/>
      <c r="D2" s="44" t="n"/>
      <c r="E2" s="44" t="n"/>
      <c r="F2" s="44" t="n"/>
      <c r="G2" s="44" t="n"/>
      <c r="H2" s="44" t="n"/>
    </row>
    <row r="3" ht="30" customHeight="1" s="28">
      <c r="A3" s="45" t="inlineStr">
        <is>
          <t>V17.1</t>
        </is>
      </c>
      <c r="B3" s="45" t="inlineStr">
        <is>
          <t>TURN Server</t>
        </is>
      </c>
      <c r="C3" s="46" t="inlineStr">
        <is>
          <t>V17.1.1</t>
        </is>
      </c>
      <c r="D3" s="47" t="inlineStr">
        <is>
          <t>Verify that the Traversal Using Relays around NAT (TURN) service only allows access to IP addresses that are not reserved for special purposes (e.g., internal networks, broadcast, loopback). Note that this applies to both IPv4 and IPv6 addresses.</t>
        </is>
      </c>
      <c r="E3" s="48" t="n">
        <v>2</v>
      </c>
      <c r="F3" s="49" t="inlineStr">
        <is>
          <t>Not Applicable</t>
        </is>
      </c>
      <c r="G3" s="47" t="inlineStr">
        <is>
          <t>No WebRTC used in the system.</t>
        </is>
      </c>
      <c r="H3" s="47" t="n"/>
    </row>
    <row r="4" ht="30" customHeight="1" s="28">
      <c r="A4" s="50" t="inlineStr">
        <is>
          <t>V17.1</t>
        </is>
      </c>
      <c r="B4" s="50" t="inlineStr">
        <is>
          <t>TURN Server</t>
        </is>
      </c>
      <c r="C4" s="51" t="inlineStr">
        <is>
          <t>V17.1.2</t>
        </is>
      </c>
      <c r="D4" s="52" t="inlineStr">
        <is>
          <t>Verify that the Traversal Using Relays around NAT (TURN) service is not susceptible to resource exhaustion when legitimate users attempt to open a large number of ports on the TURN server.</t>
        </is>
      </c>
      <c r="E4" s="54" t="n">
        <v>3</v>
      </c>
      <c r="F4" s="49" t="inlineStr">
        <is>
          <t>Not Applicable</t>
        </is>
      </c>
      <c r="G4" s="52" t="inlineStr">
        <is>
          <t>No WebRTC used in the system.</t>
        </is>
      </c>
      <c r="H4" s="52" t="n"/>
    </row>
    <row r="5" ht="18" customHeight="1" s="28">
      <c r="A5" s="44" t="inlineStr">
        <is>
          <t>V17.2</t>
        </is>
      </c>
      <c r="B5" s="44" t="inlineStr">
        <is>
          <t>Media</t>
        </is>
      </c>
      <c r="C5" s="44" t="n"/>
      <c r="D5" s="44" t="n"/>
      <c r="E5" s="44" t="n"/>
      <c r="F5" s="44" t="n"/>
      <c r="G5" s="44" t="n"/>
      <c r="H5" s="44" t="n"/>
    </row>
    <row r="6" ht="30" customHeight="1" s="28">
      <c r="A6" s="45" t="inlineStr">
        <is>
          <t>V17.2</t>
        </is>
      </c>
      <c r="B6" s="45" t="inlineStr">
        <is>
          <t>Media</t>
        </is>
      </c>
      <c r="C6" s="46" t="inlineStr">
        <is>
          <t>V17.2.1</t>
        </is>
      </c>
      <c r="D6" s="47" t="inlineStr">
        <is>
          <t>Verify that the key for the Datagram Transport Layer Security (DTLS) certificate is managed and protected based on the documented policy for management of cryptographic keys.</t>
        </is>
      </c>
      <c r="E6" s="48" t="n">
        <v>2</v>
      </c>
      <c r="F6" s="49" t="inlineStr">
        <is>
          <t>Not Applicable</t>
        </is>
      </c>
      <c r="G6" s="47" t="inlineStr">
        <is>
          <t>No WebRTC used in the system.</t>
        </is>
      </c>
      <c r="H6" s="47" t="n"/>
    </row>
    <row r="7" ht="30" customHeight="1" s="28">
      <c r="A7" s="50" t="inlineStr">
        <is>
          <t>V17.2</t>
        </is>
      </c>
      <c r="B7" s="50" t="inlineStr">
        <is>
          <t>Media</t>
        </is>
      </c>
      <c r="C7" s="51" t="inlineStr">
        <is>
          <t>V17.2.2</t>
        </is>
      </c>
      <c r="D7" s="52"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48" t="n">
        <v>2</v>
      </c>
      <c r="F7" s="49" t="inlineStr">
        <is>
          <t>Not Applicable</t>
        </is>
      </c>
      <c r="G7" s="52" t="inlineStr">
        <is>
          <t>No WebRTC used in the system.</t>
        </is>
      </c>
      <c r="H7" s="52" t="n"/>
    </row>
    <row r="8" ht="30" customHeight="1" s="28">
      <c r="A8" s="45" t="inlineStr">
        <is>
          <t>V17.2</t>
        </is>
      </c>
      <c r="B8" s="45" t="inlineStr">
        <is>
          <t>Media</t>
        </is>
      </c>
      <c r="C8" s="46" t="inlineStr">
        <is>
          <t>V17.2.3</t>
        </is>
      </c>
      <c r="D8" s="47"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48" t="n">
        <v>2</v>
      </c>
      <c r="F8" s="49" t="inlineStr">
        <is>
          <t>Not Applicable</t>
        </is>
      </c>
      <c r="G8" s="47" t="inlineStr">
        <is>
          <t>No WebRTC used in the system.</t>
        </is>
      </c>
      <c r="H8" s="47" t="n"/>
    </row>
    <row r="9" ht="30" customHeight="1" s="28">
      <c r="A9" s="50" t="inlineStr">
        <is>
          <t>V17.2</t>
        </is>
      </c>
      <c r="B9" s="50" t="inlineStr">
        <is>
          <t>Media</t>
        </is>
      </c>
      <c r="C9" s="51" t="inlineStr">
        <is>
          <t>V17.2.4</t>
        </is>
      </c>
      <c r="D9" s="52" t="inlineStr">
        <is>
          <t>Verify that the media server is able to continue processing incoming media traffic when encountering malformed Secure Real-time Transport Protocol (SRTP) packets.</t>
        </is>
      </c>
      <c r="E9" s="48" t="n">
        <v>2</v>
      </c>
      <c r="F9" s="49" t="inlineStr">
        <is>
          <t>Not Applicable</t>
        </is>
      </c>
      <c r="G9" s="52" t="inlineStr">
        <is>
          <t>No WebRTC used in the system.</t>
        </is>
      </c>
      <c r="H9" s="52" t="n"/>
    </row>
    <row r="10" ht="30" customHeight="1" s="28">
      <c r="A10" s="45" t="inlineStr">
        <is>
          <t>V17.2</t>
        </is>
      </c>
      <c r="B10" s="45" t="inlineStr">
        <is>
          <t>Media</t>
        </is>
      </c>
      <c r="C10" s="46" t="inlineStr">
        <is>
          <t>V17.2.5</t>
        </is>
      </c>
      <c r="D10" s="47" t="inlineStr">
        <is>
          <t>Verify that the media server is able to continue processing incoming media traffic during a flood of Secure Real-time Transport Protocol (SRTP) packets from legitimate users.</t>
        </is>
      </c>
      <c r="E10" s="54" t="n">
        <v>3</v>
      </c>
      <c r="F10" s="49" t="inlineStr">
        <is>
          <t>Not Applicable</t>
        </is>
      </c>
      <c r="G10" s="47" t="inlineStr">
        <is>
          <t>No WebRTC used in the system.</t>
        </is>
      </c>
      <c r="H10" s="47" t="n"/>
    </row>
    <row r="11" ht="30" customHeight="1" s="28">
      <c r="A11" s="50" t="inlineStr">
        <is>
          <t>V17.2</t>
        </is>
      </c>
      <c r="B11" s="50" t="inlineStr">
        <is>
          <t>Media</t>
        </is>
      </c>
      <c r="C11" s="51" t="inlineStr">
        <is>
          <t>V17.2.6</t>
        </is>
      </c>
      <c r="D11" s="52" t="inlineStr">
        <is>
          <t>Verify that the media server is not susceptible to the "ClientHello" Race Condition vulnerability in Datagram Transport Layer Security (DTLS) by checking if the media server is publicly known to be vulnerable or by performing the race condition test.</t>
        </is>
      </c>
      <c r="E11" s="54" t="n">
        <v>3</v>
      </c>
      <c r="F11" s="49" t="inlineStr">
        <is>
          <t>Not Applicable</t>
        </is>
      </c>
      <c r="G11" s="52" t="inlineStr">
        <is>
          <t>No WebRTC used in the system.</t>
        </is>
      </c>
      <c r="H11" s="52" t="n"/>
    </row>
    <row r="12" ht="30" customHeight="1" s="28">
      <c r="A12" s="45" t="inlineStr">
        <is>
          <t>V17.2</t>
        </is>
      </c>
      <c r="B12" s="45" t="inlineStr">
        <is>
          <t>Media</t>
        </is>
      </c>
      <c r="C12" s="46" t="inlineStr">
        <is>
          <t>V17.2.7</t>
        </is>
      </c>
      <c r="D12" s="47" t="inlineStr">
        <is>
          <t>Verify that any audio or video recording mechanisms associated with the media server are able to continue processing incoming media traffic during a flood of Secure Real-time Transport Protocol (SRTP) packets from legitimate users.</t>
        </is>
      </c>
      <c r="E12" s="54" t="n">
        <v>3</v>
      </c>
      <c r="F12" s="49" t="inlineStr">
        <is>
          <t>Not Applicable</t>
        </is>
      </c>
      <c r="G12" s="47" t="inlineStr">
        <is>
          <t>No WebRTC used in the system.</t>
        </is>
      </c>
      <c r="H12" s="47" t="n"/>
    </row>
    <row r="13" ht="30" customHeight="1" s="28">
      <c r="A13" s="50" t="inlineStr">
        <is>
          <t>V17.2</t>
        </is>
      </c>
      <c r="B13" s="50" t="inlineStr">
        <is>
          <t>Media</t>
        </is>
      </c>
      <c r="C13" s="51" t="inlineStr">
        <is>
          <t>V17.2.8</t>
        </is>
      </c>
      <c r="D13" s="52" t="inlineStr">
        <is>
          <t>Verify that the Datagram Transport Layer Security (DTLS) certificate is checked against the Session Description Protocol (SDP) fingerprint attribute, terminating the media stream if the check fails, to ensure the authenticity of the media stream.</t>
        </is>
      </c>
      <c r="E13" s="54" t="n">
        <v>3</v>
      </c>
      <c r="F13" s="49" t="inlineStr">
        <is>
          <t>Not Applicable</t>
        </is>
      </c>
      <c r="G13" s="52" t="inlineStr">
        <is>
          <t>No WebRTC used in the system.</t>
        </is>
      </c>
      <c r="H13" s="52" t="n"/>
    </row>
    <row r="14" ht="18" customHeight="1" s="28">
      <c r="A14" s="44" t="inlineStr">
        <is>
          <t>V17.3</t>
        </is>
      </c>
      <c r="B14" s="44" t="inlineStr">
        <is>
          <t>Signaling</t>
        </is>
      </c>
      <c r="C14" s="44" t="n"/>
      <c r="D14" s="44" t="n"/>
      <c r="E14" s="44" t="n"/>
      <c r="F14" s="44" t="n"/>
      <c r="G14" s="44" t="n"/>
      <c r="H14" s="44" t="n"/>
    </row>
    <row r="15" ht="30" customHeight="1" s="28">
      <c r="A15" s="45" t="inlineStr">
        <is>
          <t>V17.3</t>
        </is>
      </c>
      <c r="B15" s="45" t="inlineStr">
        <is>
          <t>Signaling</t>
        </is>
      </c>
      <c r="C15" s="46" t="inlineStr">
        <is>
          <t>V17.3.1</t>
        </is>
      </c>
      <c r="D15" s="47" t="inlineStr">
        <is>
          <t>Verify that the signaling server is able to continue processing legitimate incoming signaling messages during a flood attack. This should be achieved by implementing rate limiting at the signaling level.</t>
        </is>
      </c>
      <c r="E15" s="48" t="n">
        <v>2</v>
      </c>
      <c r="F15" s="49" t="inlineStr">
        <is>
          <t>Not Applicable</t>
        </is>
      </c>
      <c r="G15" s="47" t="inlineStr">
        <is>
          <t>No WebRTC used in the system.</t>
        </is>
      </c>
      <c r="H15" s="47" t="n"/>
    </row>
    <row r="16" ht="30" customHeight="1" s="28">
      <c r="A16" s="50" t="inlineStr">
        <is>
          <t>V17.3</t>
        </is>
      </c>
      <c r="B16" s="50" t="inlineStr">
        <is>
          <t>Signaling</t>
        </is>
      </c>
      <c r="C16" s="51" t="inlineStr">
        <is>
          <t>V17.3.2</t>
        </is>
      </c>
      <c r="D16" s="52"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48" t="n">
        <v>2</v>
      </c>
      <c r="F16" s="49" t="inlineStr">
        <is>
          <t>Not Applicable</t>
        </is>
      </c>
      <c r="G16" s="52" t="inlineStr">
        <is>
          <t>No WebRTC used in the system.</t>
        </is>
      </c>
      <c r="H16" s="52" t="n"/>
    </row>
  </sheetData>
  <conditionalFormatting sqref="F2:F16">
    <cfRule type="cellIs" rank="0" priority="2" equalAverage="0" operator="equal" aboveAverage="0" dxfId="0" text="" percent="0" bottom="0">
      <formula>"Compliant"</formula>
    </cfRule>
    <cfRule type="cellIs" rank="0" priority="3" equalAverage="0" operator="equal" aboveAverage="0" dxfId="1" text="" percent="0" bottom="0">
      <formula>"In Progress"</formula>
    </cfRule>
    <cfRule type="cellIs" rank="0" priority="4" equalAverage="0" operator="equal" aboveAverage="0" dxfId="2" text="" percent="0" bottom="0">
      <formula>"Not Applicable"</formula>
    </cfRule>
  </conditionalFormatting>
  <dataValidations count="1">
    <dataValidation sqref="F2:F1016" showDropDown="0" showInputMessage="0" showErrorMessage="0" allowBlank="1" type="list" operator="between">
      <formula1>"Not Started,In Progress,Compliant,Not Applicable"</formula1>
      <formula2>0</formula2>
    </dataValidation>
  </dataValidations>
  <printOptions horizontalCentered="0" verticalCentered="0" headings="0" gridLines="0" gridLinesSet="1"/>
  <pageMargins left="0.75" right="0.75" top="1" bottom="1" header="0.511805555555555" footer="0.511805555555555"/>
  <pageSetup orientation="portrait" paperSize="1" scale="100" fitToHeight="1" fitToWidth="1" firstPageNumber="0" useFirstPageNumber="0"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pt-PT</dc:language>
  <dcterms:created xmlns:dcterms="http://purl.org/dc/terms/" xmlns:xsi="http://www.w3.org/2001/XMLSchema-instance" xsi:type="dcterms:W3CDTF">2026-03-04T10:14:28Z</dcterms:created>
  <dcterms:modified xmlns:dcterms="http://purl.org/dc/terms/" xmlns:xsi="http://www.w3.org/2001/XMLSchema-instance" xsi:type="dcterms:W3CDTF">2026-05-18T13:54:36Z</dcterms:modified>
  <cp:revision>3</cp:revision>
</cp:coreProperties>
</file>

<file path=docProps/custom.xml><?xml version="1.0" encoding="utf-8"?>
<Properties xmlns="http://schemas.openxmlformats.org/officeDocument/2006/custom-properties">
  <property name="AppVersion" fmtid="{D5CDD505-2E9C-101B-9397-08002B2CF9AE}" pid="2">
    <vt:lpwstr xmlns:vt="http://schemas.openxmlformats.org/officeDocument/2006/docPropsVTypes">3.1</vt:lpwstr>
  </property>
</Properties>
</file>